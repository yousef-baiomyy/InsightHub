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ac8010e55347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Data" sheetId="1" r:id="Re32e63a0aa844c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"/>
    <x:numFmt numFmtId="202" formatCode="0%"/>
    <x:numFmt numFmtId="203" formatCode="0.0%"/>
    <x:numFmt numFmtId="204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0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left style="medium">
        <x:color rgb="FF17365D"/>
      </x:left>
      <x:top style="medium">
        <x:color rgb="FF17365D"/>
      </x:top>
      <x:bottom style="thin">
        <x:color rgb="FFE5E7EB"/>
      </x:bottom>
    </x:border>
    <x:border>
      <x:top style="medium">
        <x:color rgb="FF17365D"/>
      </x:top>
      <x:bottom style="thin">
        <x:color rgb="FFE5E7EB"/>
      </x:bottom>
    </x:border>
    <x:border>
      <x:left style="medium">
        <x:color rgb="FF17365D"/>
      </x:left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left style="medium">
        <x:color rgb="FF17365D"/>
      </x:left>
      <x:top style="thin">
        <x:color rgb="FFE5E7EB"/>
      </x:top>
      <x:bottom style="medium">
        <x:color rgb="FF17365D"/>
      </x:bottom>
    </x:border>
    <x:border>
      <x:top style="thin">
        <x:color rgb="FFE5E7EB"/>
      </x:top>
      <x:bottom style="medium">
        <x:color rgb="FF17365D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  <x:xf numFmtId="204" fontId="2" fillId="0" borderId="0" xfId="0" applyNumberFormat="1" applyFont="1" applyFill="1" applyBorder="1"/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/>
    <x:xf numFmtId="200" fontId="2" fillId="0" borderId="7" xfId="0" applyNumberFormat="1" applyFont="1" applyFill="1" applyBorder="1"/>
    <x:xf numFmtId="0" fontId="2" fillId="0" borderId="7" xfId="0" applyNumberFormat="1" applyFont="1" applyFill="1" applyBorder="1"/>
    <x:xf numFmtId="201" fontId="2" fillId="0" borderId="7" xfId="0" applyNumberFormat="1" applyFont="1" applyFill="1" applyBorder="1"/>
    <x:xf numFmtId="202" fontId="2" fillId="0" borderId="7" xfId="0" applyNumberFormat="1" applyFont="1" applyFill="1" applyBorder="1"/>
    <x:xf numFmtId="203" fontId="2" fillId="0" borderId="7" xfId="0" applyNumberFormat="1" applyFont="1" applyFill="1" applyBorder="1"/>
    <x:xf numFmtId="204" fontId="2" fillId="0" borderId="7" xfId="0" applyNumberFormat="1" applyFont="1" applyFill="1" applyBorder="1"/>
    <x:xf numFmtId="0" fontId="2" fillId="0" borderId="8" xfId="0" applyNumberFormat="1" applyFont="1" applyFill="1" applyBorder="1"/>
    <x:xf numFmtId="200" fontId="2" fillId="0" borderId="9" xfId="0" applyNumberFormat="1" applyFont="1" applyFill="1" applyBorder="1"/>
    <x:xf numFmtId="0" fontId="2" fillId="0" borderId="9" xfId="0" applyNumberFormat="1" applyFont="1" applyFill="1" applyBorder="1"/>
    <x:xf numFmtId="201" fontId="2" fillId="0" borderId="9" xfId="0" applyNumberFormat="1" applyFont="1" applyFill="1" applyBorder="1"/>
    <x:xf numFmtId="202" fontId="2" fillId="0" borderId="9" xfId="0" applyNumberFormat="1" applyFont="1" applyFill="1" applyBorder="1"/>
    <x:xf numFmtId="203" fontId="2" fillId="0" borderId="9" xfId="0" applyNumberFormat="1" applyFont="1" applyFill="1" applyBorder="1"/>
    <x:xf numFmtId="204" fontId="2" fillId="0" borderId="9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F5F8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7da26b25084094" /><Relationship Type="http://schemas.openxmlformats.org/officeDocument/2006/relationships/theme" Target="/xl/theme/theme1.xml" Id="R039a30b7513843ef" /><Relationship Type="http://schemas.openxmlformats.org/officeDocument/2006/relationships/sharedStrings" Target="/xl/sharedStrings.xml" Id="Reba9b8ed2d6042e7" /><Relationship Type="http://schemas.openxmlformats.org/officeDocument/2006/relationships/worksheet" Target="/xl/worksheets/sheet1.xml" Id="Re32e63a0aa844c19" /></Relationships>
</file>

<file path=xl/tables/table1.xml><?xml version="1.0" encoding="utf-8"?>
<x:table xmlns:x="http://schemas.openxmlformats.org/spreadsheetml/2006/main" id="1" name="MANSalesTable" displayName="MANSalesTable" ref="A1:V1001" headerRowCount="1" totalsRowCount="0" totalsRowShown="0">
  <x:autoFilter ref="A1:V1001"/>
  <x:tableColumns count="22">
    <x:tableColumn id="1" name="Order ID"/>
    <x:tableColumn id="2" name="Order Date"/>
    <x:tableColumn id="3" name="Branch"/>
    <x:tableColumn id="4" name="City / Area"/>
    <x:tableColumn id="5" name="Salesperson"/>
    <x:tableColumn id="6" name="Customer Name"/>
    <x:tableColumn id="7" name="Customer Segment"/>
    <x:tableColumn id="8" name="Sales Channel"/>
    <x:tableColumn id="9" name="Product Category"/>
    <x:tableColumn id="10" name="Product"/>
    <x:tableColumn id="11" name="Quantity"/>
    <x:tableColumn id="12" name="Unit Price (EGP)"/>
    <x:tableColumn id="13" name="Discount %"/>
    <x:tableColumn id="14" name="Gross Sales (EGP)"/>
    <x:tableColumn id="15" name="Net Sales (EGP)"/>
    <x:tableColumn id="16" name="Unit Cost (EGP)"/>
    <x:tableColumn id="17" name="Total Cost (EGP)"/>
    <x:tableColumn id="18" name="Profit (EGP)"/>
    <x:tableColumn id="19" name="Profit Margin %"/>
    <x:tableColumn id="20" name="Payment Method"/>
    <x:tableColumn id="21" name="Order Status"/>
    <x:tableColumn id="22" name="Customer Rat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2d540045134c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3" hidden="0" customWidth="1"/>
    <x:col min="4" max="4" width="16" hidden="0" customWidth="1"/>
    <x:col min="5" max="5" width="18" hidden="0" customWidth="1"/>
    <x:col min="6" max="6" width="20" hidden="0" customWidth="1"/>
    <x:col min="7" max="7" width="18" hidden="0" customWidth="1"/>
    <x:col min="8" max="8" width="15" hidden="0" customWidth="1"/>
    <x:col min="9" max="9" width="19" hidden="0" customWidth="1"/>
    <x:col min="10" max="10" width="18" hidden="0" customWidth="1"/>
    <x:col min="11" max="11" width="10" hidden="0" customWidth="1"/>
    <x:col min="12" max="12" width="15" hidden="0" customWidth="1"/>
    <x:col min="13" max="13" width="12" hidden="0" customWidth="1"/>
    <x:col min="14" max="14" width="16" hidden="0" customWidth="1"/>
    <x:col min="15" max="15" width="16" hidden="0" customWidth="1"/>
    <x:col min="16" max="16" width="15" hidden="0" customWidth="1"/>
    <x:col min="17" max="17" width="16" hidden="0" customWidth="1"/>
    <x:col min="18" max="18" width="15" hidden="0" customWidth="1"/>
    <x:col min="19" max="19" width="14" hidden="0" customWidth="1"/>
    <x:col min="20" max="20" width="17" hidden="0" customWidth="1"/>
    <x:col min="21" max="21" width="14" hidden="0" customWidth="1"/>
    <x:col min="22" max="22" width="15" hidden="0" customWidth="1"/>
  </x:cols>
  <x:sheetData>
    <x:row r="1" ht="32" customHeight="1">
      <x:c r="A1" s="21" t="str">
        <x:v>Order ID</x:v>
      </x:c>
      <x:c r="B1" s="22" t="str">
        <x:v>Order Date</x:v>
      </x:c>
      <x:c r="C1" s="22" t="str">
        <x:v>Branch</x:v>
      </x:c>
      <x:c r="D1" s="22" t="str">
        <x:v>City / Area</x:v>
      </x:c>
      <x:c r="E1" s="22" t="str">
        <x:v>Salesperson</x:v>
      </x:c>
      <x:c r="F1" s="22" t="str">
        <x:v>Customer Name</x:v>
      </x:c>
      <x:c r="G1" s="22" t="str">
        <x:v>Customer Segment</x:v>
      </x:c>
      <x:c r="H1" s="22" t="str">
        <x:v>Sales Channel</x:v>
      </x:c>
      <x:c r="I1" s="22" t="str">
        <x:v>Product Category</x:v>
      </x:c>
      <x:c r="J1" s="22" t="str">
        <x:v>Product</x:v>
      </x:c>
      <x:c r="K1" s="22" t="str">
        <x:v>Quantity</x:v>
      </x:c>
      <x:c r="L1" s="22" t="str">
        <x:v>Unit Price (EGP)</x:v>
      </x:c>
      <x:c r="M1" s="22" t="str">
        <x:v>Discount %</x:v>
      </x:c>
      <x:c r="N1" s="22" t="str">
        <x:v>Gross Sales (EGP)</x:v>
      </x:c>
      <x:c r="O1" s="22" t="str">
        <x:v>Net Sales (EGP)</x:v>
      </x:c>
      <x:c r="P1" s="22" t="str">
        <x:v>Unit Cost (EGP)</x:v>
      </x:c>
      <x:c r="Q1" s="22" t="str">
        <x:v>Total Cost (EGP)</x:v>
      </x:c>
      <x:c r="R1" s="22" t="str">
        <x:v>Profit (EGP)</x:v>
      </x:c>
      <x:c r="S1" s="22" t="str">
        <x:v>Profit Margin %</x:v>
      </x:c>
      <x:c r="T1" s="22" t="str">
        <x:v>Payment Method</x:v>
      </x:c>
      <x:c r="U1" s="22" t="str">
        <x:v>Order Status</x:v>
      </x:c>
      <x:c r="V1" s="22" t="str">
        <x:v>Customer Rating</x:v>
      </x:c>
    </x:row>
    <x:row r="2">
      <x:c r="A2" s="23" t="str">
        <x:v>MAN-2025-00001</x:v>
      </x:c>
      <x:c r="B2" s="24" t="n">
        <x:v>46009</x:v>
      </x:c>
      <x:c r="C2" s="25" t="str">
        <x:v>Mansoura</x:v>
      </x:c>
      <x:c r="D2" s="25" t="str">
        <x:v>Sherbin</x:v>
      </x:c>
      <x:c r="E2" s="25" t="str">
        <x:v>Aya Farouk</x:v>
      </x:c>
      <x:c r="F2" s="25" t="str">
        <x:v>Salma Adel</x:v>
      </x:c>
      <x:c r="G2" s="25" t="str">
        <x:v>Corporate</x:v>
      </x:c>
      <x:c r="H2" s="25" t="str">
        <x:v>Phone Order</x:v>
      </x:c>
      <x:c r="I2" s="25" t="str">
        <x:v>Office Supplies</x:v>
      </x:c>
      <x:c r="J2" s="25" t="str">
        <x:v>Calculator</x:v>
      </x:c>
      <x:c r="K2" s="25" t="n">
        <x:v>3</x:v>
      </x:c>
      <x:c r="L2" s="26" t="n">
        <x:v>415</x:v>
      </x:c>
      <x:c r="M2" s="27" t="n">
        <x:v>0</x:v>
      </x:c>
      <x:c r="N2" s="26" t="n">
        <x:f>K2*L2</x:f>
        <x:v>1245</x:v>
      </x:c>
      <x:c r="O2" s="26" t="n">
        <x:f>N2*(1-M2)</x:f>
        <x:v>1245</x:v>
      </x:c>
      <x:c r="P2" s="26" t="n">
        <x:v>294</x:v>
      </x:c>
      <x:c r="Q2" s="26" t="n">
        <x:f>K2*P2</x:f>
        <x:v>882</x:v>
      </x:c>
      <x:c r="R2" s="26" t="n">
        <x:f>O2-Q2</x:f>
        <x:v>363</x:v>
      </x:c>
      <x:c r="S2" s="28" t="n">
        <x:f>IF(O2=0,0,R2/O2)</x:f>
        <x:v>0.29156626506024097</x:v>
      </x:c>
      <x:c r="T2" s="25" t="str">
        <x:v>Digital Wallet</x:v>
      </x:c>
      <x:c r="U2" s="25" t="str">
        <x:v>Cancelled</x:v>
      </x:c>
      <x:c r="V2" s="29" t="n">
        <x:v>4</x:v>
      </x:c>
    </x:row>
    <x:row r="3">
      <x:c r="A3" s="23" t="str">
        <x:v>MAN-2025-00002</x:v>
      </x:c>
      <x:c r="B3" s="24" t="n">
        <x:v>45873</x:v>
      </x:c>
      <x:c r="C3" s="25" t="str">
        <x:v>Mansoura</x:v>
      </x:c>
      <x:c r="D3" s="25" t="str">
        <x:v>Aga</x:v>
      </x:c>
      <x:c r="E3" s="25" t="str">
        <x:v>Salma Mansour</x:v>
      </x:c>
      <x:c r="F3" s="25" t="str">
        <x:v>Hana Samir</x:v>
      </x:c>
      <x:c r="G3" s="25" t="str">
        <x:v>Consumer</x:v>
      </x:c>
      <x:c r="H3" s="25" t="str">
        <x:v>Phone Order</x:v>
      </x:c>
      <x:c r="I3" s="25" t="str">
        <x:v>Furniture</x:v>
      </x:c>
      <x:c r="J3" s="25" t="str">
        <x:v>Desk</x:v>
      </x:c>
      <x:c r="K3" s="25" t="n">
        <x:v>5</x:v>
      </x:c>
      <x:c r="L3" s="26" t="n">
        <x:v>5307</x:v>
      </x:c>
      <x:c r="M3" s="27" t="n">
        <x:v>0.1</x:v>
      </x:c>
      <x:c r="N3" s="26" t="n">
        <x:f>K3*L3</x:f>
        <x:v>26535</x:v>
      </x:c>
      <x:c r="O3" s="26" t="n">
        <x:f>N3*(1-M3)</x:f>
        <x:v>23881.5</x:v>
      </x:c>
      <x:c r="P3" s="26" t="n">
        <x:v>3841</x:v>
      </x:c>
      <x:c r="Q3" s="26" t="n">
        <x:f>K3*P3</x:f>
        <x:v>19205</x:v>
      </x:c>
      <x:c r="R3" s="26" t="n">
        <x:f>O3-Q3</x:f>
        <x:v>4676.5</x:v>
      </x:c>
      <x:c r="S3" s="28" t="n">
        <x:f>IF(O3=0,0,R3/O3)</x:f>
        <x:v>0.19582103301718903</x:v>
      </x:c>
      <x:c r="T3" s="25" t="str">
        <x:v>Digital Wallet</x:v>
      </x:c>
      <x:c r="U3" s="25" t="str">
        <x:v>Completed</x:v>
      </x:c>
      <x:c r="V3" s="29" t="n">
        <x:v>3</x:v>
      </x:c>
    </x:row>
    <x:row r="4">
      <x:c r="A4" s="23" t="str">
        <x:v>MAN-2025-00003</x:v>
      </x:c>
      <x:c r="B4" s="24" t="n">
        <x:v>46001</x:v>
      </x:c>
      <x:c r="C4" s="25" t="str">
        <x:v>Mansoura</x:v>
      </x:c>
      <x:c r="D4" s="25" t="str">
        <x:v>Mansoura City</x:v>
      </x:c>
      <x:c r="E4" s="25" t="str">
        <x:v>Youssef Fathy</x:v>
      </x:c>
      <x:c r="F4" s="25" t="str">
        <x:v>Nour Tarek</x:v>
      </x:c>
      <x:c r="G4" s="25" t="str">
        <x:v>Corporate</x:v>
      </x:c>
      <x:c r="H4" s="25" t="str">
        <x:v>Retail Store</x:v>
      </x:c>
      <x:c r="I4" s="25" t="str">
        <x:v>Office Supplies</x:v>
      </x:c>
      <x:c r="J4" s="25" t="str">
        <x:v>Printer</x:v>
      </x:c>
      <x:c r="K4" s="25" t="n">
        <x:v>4</x:v>
      </x:c>
      <x:c r="L4" s="26" t="n">
        <x:v>6459</x:v>
      </x:c>
      <x:c r="M4" s="27" t="n">
        <x:v>0</x:v>
      </x:c>
      <x:c r="N4" s="26" t="n">
        <x:f>K4*L4</x:f>
        <x:v>25836</x:v>
      </x:c>
      <x:c r="O4" s="26" t="n">
        <x:f>N4*(1-M4)</x:f>
        <x:v>25836</x:v>
      </x:c>
      <x:c r="P4" s="26" t="n">
        <x:v>5308</x:v>
      </x:c>
      <x:c r="Q4" s="26" t="n">
        <x:f>K4*P4</x:f>
        <x:v>21232</x:v>
      </x:c>
      <x:c r="R4" s="26" t="n">
        <x:f>O4-Q4</x:f>
        <x:v>4604</x:v>
      </x:c>
      <x:c r="S4" s="28" t="n">
        <x:f>IF(O4=0,0,R4/O4)</x:f>
        <x:v>0.17820095990091345</x:v>
      </x:c>
      <x:c r="T4" s="25" t="str">
        <x:v>Credit Card</x:v>
      </x:c>
      <x:c r="U4" s="25" t="str">
        <x:v>Returned</x:v>
      </x:c>
      <x:c r="V4" s="29" t="n">
        <x:v>4</x:v>
      </x:c>
    </x:row>
    <x:row r="5">
      <x:c r="A5" s="23" t="str">
        <x:v>MAN-2025-00004</x:v>
      </x:c>
      <x:c r="B5" s="24" t="n">
        <x:v>45865</x:v>
      </x:c>
      <x:c r="C5" s="25" t="str">
        <x:v>Mansoura</x:v>
      </x:c>
      <x:c r="D5" s="25" t="str">
        <x:v>Mit Ghamr</x:v>
      </x:c>
      <x:c r="E5" s="25" t="str">
        <x:v>Salma Mansour</x:v>
      </x:c>
      <x:c r="F5" s="25" t="str">
        <x:v>Hana Farouk</x:v>
      </x:c>
      <x:c r="G5" s="25" t="str">
        <x:v>Small Business</x:v>
      </x:c>
      <x:c r="H5" s="25" t="str">
        <x:v>Phone Order</x:v>
      </x:c>
      <x:c r="I5" s="25" t="str">
        <x:v>Office Supplies</x:v>
      </x:c>
      <x:c r="J5" s="25" t="str">
        <x:v>Calculator</x:v>
      </x:c>
      <x:c r="K5" s="25" t="n">
        <x:v>6</x:v>
      </x:c>
      <x:c r="L5" s="26" t="n">
        <x:v>435</x:v>
      </x:c>
      <x:c r="M5" s="27" t="n">
        <x:v>0.05</x:v>
      </x:c>
      <x:c r="N5" s="26" t="n">
        <x:f>K5*L5</x:f>
        <x:v>2610</x:v>
      </x:c>
      <x:c r="O5" s="26" t="n">
        <x:f>N5*(1-M5)</x:f>
        <x:v>2479.5</x:v>
      </x:c>
      <x:c r="P5" s="26" t="n">
        <x:v>277</x:v>
      </x:c>
      <x:c r="Q5" s="26" t="n">
        <x:f>K5*P5</x:f>
        <x:v>1662</x:v>
      </x:c>
      <x:c r="R5" s="26" t="n">
        <x:f>O5-Q5</x:f>
        <x:v>817.5</x:v>
      </x:c>
      <x:c r="S5" s="28" t="n">
        <x:f>IF(O5=0,0,R5/O5)</x:f>
        <x:v>0.3297035692679976</x:v>
      </x:c>
      <x:c r="T5" s="25" t="str">
        <x:v>Credit Card</x:v>
      </x:c>
      <x:c r="U5" s="25" t="str">
        <x:v>Completed</x:v>
      </x:c>
      <x:c r="V5" s="29" t="n">
        <x:v>5</x:v>
      </x:c>
    </x:row>
    <x:row r="6">
      <x:c r="A6" s="23" t="str">
        <x:v>MAN-2025-00005</x:v>
      </x:c>
      <x:c r="B6" s="24" t="n">
        <x:v>45696</x:v>
      </x:c>
      <x:c r="C6" s="25" t="str">
        <x:v>Mansoura</x:v>
      </x:c>
      <x:c r="D6" s="25" t="str">
        <x:v>Aga</x:v>
      </x:c>
      <x:c r="E6" s="25" t="str">
        <x:v>Youssef Fathy</x:v>
      </x:c>
      <x:c r="F6" s="25" t="str">
        <x:v>Karim Nasser</x:v>
      </x:c>
      <x:c r="G6" s="25" t="str">
        <x:v>Consumer</x:v>
      </x:c>
      <x:c r="H6" s="25" t="str">
        <x:v>Mobile App</x:v>
      </x:c>
      <x:c r="I6" s="25" t="str">
        <x:v>Furniture</x:v>
      </x:c>
      <x:c r="J6" s="25" t="str">
        <x:v>Sofa</x:v>
      </x:c>
      <x:c r="K6" s="25" t="n">
        <x:v>2</x:v>
      </x:c>
      <x:c r="L6" s="26" t="n">
        <x:v>12640</x:v>
      </x:c>
      <x:c r="M6" s="27" t="n">
        <x:v>0.15</x:v>
      </x:c>
      <x:c r="N6" s="26" t="n">
        <x:f>K6*L6</x:f>
        <x:v>25280</x:v>
      </x:c>
      <x:c r="O6" s="26" t="n">
        <x:f>N6*(1-M6)</x:f>
        <x:v>21488</x:v>
      </x:c>
      <x:c r="P6" s="26" t="n">
        <x:v>10729</x:v>
      </x:c>
      <x:c r="Q6" s="26" t="n">
        <x:f>K6*P6</x:f>
        <x:v>21458</x:v>
      </x:c>
      <x:c r="R6" s="26" t="n">
        <x:f>O6-Q6</x:f>
        <x:v>30</x:v>
      </x:c>
      <x:c r="S6" s="28" t="n">
        <x:f>IF(O6=0,0,R6/O6)</x:f>
        <x:v>0.0013961280714817573</x:v>
      </x:c>
      <x:c r="T6" s="25" t="str">
        <x:v>Bank Transfer</x:v>
      </x:c>
      <x:c r="U6" s="25" t="str">
        <x:v>Cancelled</x:v>
      </x:c>
      <x:c r="V6" s="29" t="n">
        <x:v>4</x:v>
      </x:c>
    </x:row>
    <x:row r="7">
      <x:c r="A7" s="23" t="str">
        <x:v>MAN-2025-00006</x:v>
      </x:c>
      <x:c r="B7" s="24" t="n">
        <x:v>45993</x:v>
      </x:c>
      <x:c r="C7" s="25" t="str">
        <x:v>Mansoura</x:v>
      </x:c>
      <x:c r="D7" s="25" t="str">
        <x:v>Aga</x:v>
      </x:c>
      <x:c r="E7" s="25" t="str">
        <x:v>Salma Mansour</x:v>
      </x:c>
      <x:c r="F7" s="25" t="str">
        <x:v>Youssef Hassan</x:v>
      </x:c>
      <x:c r="G7" s="25" t="str">
        <x:v>Corporate</x:v>
      </x:c>
      <x:c r="H7" s="25" t="str">
        <x:v>Retail Store</x:v>
      </x:c>
      <x:c r="I7" s="25" t="str">
        <x:v>Furniture</x:v>
      </x:c>
      <x:c r="J7" s="25" t="str">
        <x:v>Sofa</x:v>
      </x:c>
      <x:c r="K7" s="25" t="n">
        <x:v>4</x:v>
      </x:c>
      <x:c r="L7" s="26" t="n">
        <x:v>12764</x:v>
      </x:c>
      <x:c r="M7" s="27" t="n">
        <x:v>0</x:v>
      </x:c>
      <x:c r="N7" s="26" t="n">
        <x:f>K7*L7</x:f>
        <x:v>51056</x:v>
      </x:c>
      <x:c r="O7" s="26" t="n">
        <x:f>N7*(1-M7)</x:f>
        <x:v>51056</x:v>
      </x:c>
      <x:c r="P7" s="26" t="n">
        <x:v>10748</x:v>
      </x:c>
      <x:c r="Q7" s="26" t="n">
        <x:f>K7*P7</x:f>
        <x:v>42992</x:v>
      </x:c>
      <x:c r="R7" s="26" t="n">
        <x:f>O7-Q7</x:f>
        <x:v>8064</x:v>
      </x:c>
      <x:c r="S7" s="28" t="n">
        <x:f>IF(O7=0,0,R7/O7)</x:f>
        <x:v>0.15794421811344406</x:v>
      </x:c>
      <x:c r="T7" s="25" t="str">
        <x:v>Debit Card</x:v>
      </x:c>
      <x:c r="U7" s="25" t="str">
        <x:v>Returned</x:v>
      </x:c>
      <x:c r="V7" s="29" t="n">
        <x:v>5</x:v>
      </x:c>
    </x:row>
    <x:row r="8">
      <x:c r="A8" s="23" t="str">
        <x:v>MAN-2025-00007</x:v>
      </x:c>
      <x:c r="B8" s="24" t="n">
        <x:v>45765</x:v>
      </x:c>
      <x:c r="C8" s="25" t="str">
        <x:v>Mansoura</x:v>
      </x:c>
      <x:c r="D8" s="25" t="str">
        <x:v>Aga</x:v>
      </x:c>
      <x:c r="E8" s="25" t="str">
        <x:v>Aya Farouk</x:v>
      </x:c>
      <x:c r="F8" s="25" t="str">
        <x:v>Ali Tarek</x:v>
      </x:c>
      <x:c r="G8" s="25" t="str">
        <x:v>Small Business</x:v>
      </x:c>
      <x:c r="H8" s="25" t="str">
        <x:v>Retail Store</x:v>
      </x:c>
      <x:c r="I8" s="25" t="str">
        <x:v>Home Appliances</x:v>
      </x:c>
      <x:c r="J8" s="25" t="str">
        <x:v>Air Conditioner</x:v>
      </x:c>
      <x:c r="K8" s="25" t="n">
        <x:v>2</x:v>
      </x:c>
      <x:c r="L8" s="26" t="n">
        <x:v>21640</x:v>
      </x:c>
      <x:c r="M8" s="27" t="n">
        <x:v>0.1</x:v>
      </x:c>
      <x:c r="N8" s="26" t="n">
        <x:f>K8*L8</x:f>
        <x:v>43280</x:v>
      </x:c>
      <x:c r="O8" s="26" t="n">
        <x:f>N8*(1-M8)</x:f>
        <x:v>38952</x:v>
      </x:c>
      <x:c r="P8" s="26" t="n">
        <x:v>17205</x:v>
      </x:c>
      <x:c r="Q8" s="26" t="n">
        <x:f>K8*P8</x:f>
        <x:v>34410</x:v>
      </x:c>
      <x:c r="R8" s="26" t="n">
        <x:f>O8-Q8</x:f>
        <x:v>4542</x:v>
      </x:c>
      <x:c r="S8" s="28" t="n">
        <x:f>IF(O8=0,0,R8/O8)</x:f>
        <x:v>0.11660505237215034</x:v>
      </x:c>
      <x:c r="T8" s="25" t="str">
        <x:v>Bank Transfer</x:v>
      </x:c>
      <x:c r="U8" s="25" t="str">
        <x:v>Returned</x:v>
      </x:c>
      <x:c r="V8" s="29" t="n">
        <x:v>5</x:v>
      </x:c>
    </x:row>
    <x:row r="9">
      <x:c r="A9" s="23" t="str">
        <x:v>MAN-2025-00008</x:v>
      </x:c>
      <x:c r="B9" s="24" t="n">
        <x:v>45946</x:v>
      </x:c>
      <x:c r="C9" s="25" t="str">
        <x:v>Mansoura</x:v>
      </x:c>
      <x:c r="D9" s="25" t="str">
        <x:v>Sherbin</x:v>
      </x:c>
      <x:c r="E9" s="25" t="str">
        <x:v>Aya Farouk</x:v>
      </x:c>
      <x:c r="F9" s="25" t="str">
        <x:v>Farah Farouk</x:v>
      </x:c>
      <x:c r="G9" s="25" t="str">
        <x:v>Consumer</x:v>
      </x:c>
      <x:c r="H9" s="25" t="str">
        <x:v>Retail Store</x:v>
      </x:c>
      <x:c r="I9" s="25" t="str">
        <x:v>Home Appliances</x:v>
      </x:c>
      <x:c r="J9" s="25" t="str">
        <x:v>Washing Machine</x:v>
      </x:c>
      <x:c r="K9" s="25" t="n">
        <x:v>2</x:v>
      </x:c>
      <x:c r="L9" s="26" t="n">
        <x:v>15370</x:v>
      </x:c>
      <x:c r="M9" s="27" t="n">
        <x:v>0</x:v>
      </x:c>
      <x:c r="N9" s="26" t="n">
        <x:f>K9*L9</x:f>
        <x:v>30740</x:v>
      </x:c>
      <x:c r="O9" s="26" t="n">
        <x:f>N9*(1-M9)</x:f>
        <x:v>30740</x:v>
      </x:c>
      <x:c r="P9" s="26" t="n">
        <x:v>13935</x:v>
      </x:c>
      <x:c r="Q9" s="26" t="n">
        <x:f>K9*P9</x:f>
        <x:v>27870</x:v>
      </x:c>
      <x:c r="R9" s="26" t="n">
        <x:f>O9-Q9</x:f>
        <x:v>2870</x:v>
      </x:c>
      <x:c r="S9" s="28" t="n">
        <x:f>IF(O9=0,0,R9/O9)</x:f>
        <x:v>0.0933636955107352</x:v>
      </x:c>
      <x:c r="T9" s="25" t="str">
        <x:v>Debit Card</x:v>
      </x:c>
      <x:c r="U9" s="25" t="str">
        <x:v>Completed</x:v>
      </x:c>
      <x:c r="V9" s="29" t="n">
        <x:v>5</x:v>
      </x:c>
    </x:row>
    <x:row r="10">
      <x:c r="A10" s="23" t="str">
        <x:v>MAN-2025-00009</x:v>
      </x:c>
      <x:c r="B10" s="24" t="n">
        <x:v>45961</x:v>
      </x:c>
      <x:c r="C10" s="25" t="str">
        <x:v>Mansoura</x:v>
      </x:c>
      <x:c r="D10" s="25" t="str">
        <x:v>Aga</x:v>
      </x:c>
      <x:c r="E10" s="25" t="str">
        <x:v>Salma Mansour</x:v>
      </x:c>
      <x:c r="F10" s="25" t="str">
        <x:v>Youssef Adel</x:v>
      </x:c>
      <x:c r="G10" s="25" t="str">
        <x:v>Consumer</x:v>
      </x:c>
      <x:c r="H10" s="25" t="str">
        <x:v>Phone Order</x:v>
      </x:c>
      <x:c r="I10" s="25" t="str">
        <x:v>Furniture</x:v>
      </x:c>
      <x:c r="J10" s="25" t="str">
        <x:v>Office Chair</x:v>
      </x:c>
      <x:c r="K10" s="25" t="n">
        <x:v>4</x:v>
      </x:c>
      <x:c r="L10" s="26" t="n">
        <x:v>4045</x:v>
      </x:c>
      <x:c r="M10" s="27" t="n">
        <x:v>0.05</x:v>
      </x:c>
      <x:c r="N10" s="26" t="n">
        <x:f>K10*L10</x:f>
        <x:v>16180</x:v>
      </x:c>
      <x:c r="O10" s="26" t="n">
        <x:f>N10*(1-M10)</x:f>
        <x:v>15371</x:v>
      </x:c>
      <x:c r="P10" s="26" t="n">
        <x:v>2826</x:v>
      </x:c>
      <x:c r="Q10" s="26" t="n">
        <x:f>K10*P10</x:f>
        <x:v>11304</x:v>
      </x:c>
      <x:c r="R10" s="26" t="n">
        <x:f>O10-Q10</x:f>
        <x:v>4067</x:v>
      </x:c>
      <x:c r="S10" s="28" t="n">
        <x:f>IF(O10=0,0,R10/O10)</x:f>
        <x:v>0.26458916140784594</x:v>
      </x:c>
      <x:c r="T10" s="25" t="str">
        <x:v>Credit Card</x:v>
      </x:c>
      <x:c r="U10" s="25" t="str">
        <x:v>Cancelled</x:v>
      </x:c>
      <x:c r="V10" s="29" t="n">
        <x:v>5</x:v>
      </x:c>
    </x:row>
    <x:row r="11">
      <x:c r="A11" s="23" t="str">
        <x:v>MAN-2025-00010</x:v>
      </x:c>
      <x:c r="B11" s="24" t="n">
        <x:v>45716</x:v>
      </x:c>
      <x:c r="C11" s="25" t="str">
        <x:v>Mansoura</x:v>
      </x:c>
      <x:c r="D11" s="25" t="str">
        <x:v>Aga</x:v>
      </x:c>
      <x:c r="E11" s="25" t="str">
        <x:v>Salma Mansour</x:v>
      </x:c>
      <x:c r="F11" s="25" t="str">
        <x:v>Hana Hassan</x:v>
      </x:c>
      <x:c r="G11" s="25" t="str">
        <x:v>Small Business</x:v>
      </x:c>
      <x:c r="H11" s="25" t="str">
        <x:v>Retail Store</x:v>
      </x:c>
      <x:c r="I11" s="25" t="str">
        <x:v>Furniture</x:v>
      </x:c>
      <x:c r="J11" s="25" t="str">
        <x:v>Desk</x:v>
      </x:c>
      <x:c r="K11" s="25" t="n">
        <x:v>2</x:v>
      </x:c>
      <x:c r="L11" s="26" t="n">
        <x:v>5359</x:v>
      </x:c>
      <x:c r="M11" s="27" t="n">
        <x:v>0.1</x:v>
      </x:c>
      <x:c r="N11" s="26" t="n">
        <x:f>K11*L11</x:f>
        <x:v>10718</x:v>
      </x:c>
      <x:c r="O11" s="26" t="n">
        <x:f>N11*(1-M11)</x:f>
        <x:v>9646.2</x:v>
      </x:c>
      <x:c r="P11" s="26" t="n">
        <x:v>3843</x:v>
      </x:c>
      <x:c r="Q11" s="26" t="n">
        <x:f>K11*P11</x:f>
        <x:v>7686</x:v>
      </x:c>
      <x:c r="R11" s="26" t="n">
        <x:f>O11-Q11</x:f>
        <x:v>1960.2000000000007</x:v>
      </x:c>
      <x:c r="S11" s="28" t="n">
        <x:f>IF(O11=0,0,R11/O11)</x:f>
        <x:v>0.2032095540212727</x:v>
      </x:c>
      <x:c r="T11" s="25" t="str">
        <x:v>Debit Card</x:v>
      </x:c>
      <x:c r="U11" s="25" t="str">
        <x:v>Completed</x:v>
      </x:c>
      <x:c r="V11" s="29" t="n">
        <x:v>3</x:v>
      </x:c>
    </x:row>
    <x:row r="12">
      <x:c r="A12" s="23" t="str">
        <x:v>MAN-2025-00011</x:v>
      </x:c>
      <x:c r="B12" s="24" t="n">
        <x:v>45797</x:v>
      </x:c>
      <x:c r="C12" s="25" t="str">
        <x:v>Mansoura</x:v>
      </x:c>
      <x:c r="D12" s="25" t="str">
        <x:v>Mansoura City</x:v>
      </x:c>
      <x:c r="E12" s="25" t="str">
        <x:v>Ali Sayed</x:v>
      </x:c>
      <x:c r="F12" s="25" t="str">
        <x:v>Hana Hassan</x:v>
      </x:c>
      <x:c r="G12" s="25" t="str">
        <x:v>Consumer</x:v>
      </x:c>
      <x:c r="H12" s="25" t="str">
        <x:v>Retail Store</x:v>
      </x:c>
      <x:c r="I12" s="25" t="str">
        <x:v>Home Appliances</x:v>
      </x:c>
      <x:c r="J12" s="25" t="str">
        <x:v>Air Conditioner</x:v>
      </x:c>
      <x:c r="K12" s="25" t="n">
        <x:v>3</x:v>
      </x:c>
      <x:c r="L12" s="26" t="n">
        <x:v>20184</x:v>
      </x:c>
      <x:c r="M12" s="27" t="n">
        <x:v>0</x:v>
      </x:c>
      <x:c r="N12" s="26" t="n">
        <x:f>K12*L12</x:f>
        <x:v>60552</x:v>
      </x:c>
      <x:c r="O12" s="26" t="n">
        <x:f>N12*(1-M12)</x:f>
        <x:v>60552</x:v>
      </x:c>
      <x:c r="P12" s="26" t="n">
        <x:v>17756</x:v>
      </x:c>
      <x:c r="Q12" s="26" t="n">
        <x:f>K12*P12</x:f>
        <x:v>53268</x:v>
      </x:c>
      <x:c r="R12" s="26" t="n">
        <x:f>O12-Q12</x:f>
        <x:v>7284</x:v>
      </x:c>
      <x:c r="S12" s="28" t="n">
        <x:f>IF(O12=0,0,R12/O12)</x:f>
        <x:v>0.12029330162504955</x:v>
      </x:c>
      <x:c r="T12" s="25" t="str">
        <x:v>Cash</x:v>
      </x:c>
      <x:c r="U12" s="25" t="str">
        <x:v>Completed</x:v>
      </x:c>
      <x:c r="V12" s="29" t="n">
        <x:v>4</x:v>
      </x:c>
    </x:row>
    <x:row r="13">
      <x:c r="A13" s="23" t="str">
        <x:v>MAN-2025-00012</x:v>
      </x:c>
      <x:c r="B13" s="24" t="n">
        <x:v>45713</x:v>
      </x:c>
      <x:c r="C13" s="25" t="str">
        <x:v>Mansoura</x:v>
      </x:c>
      <x:c r="D13" s="25" t="str">
        <x:v>Talkha</x:v>
      </x:c>
      <x:c r="E13" s="25" t="str">
        <x:v>Salma Mansour</x:v>
      </x:c>
      <x:c r="F13" s="25" t="str">
        <x:v>Sara Sayed</x:v>
      </x:c>
      <x:c r="G13" s="25" t="str">
        <x:v>Consumer</x:v>
      </x:c>
      <x:c r="H13" s="25" t="str">
        <x:v>Retail Store</x:v>
      </x:c>
      <x:c r="I13" s="25" t="str">
        <x:v>Electronics</x:v>
      </x:c>
      <x:c r="J13" s="25" t="str">
        <x:v>Tablet</x:v>
      </x:c>
      <x:c r="K13" s="25" t="n">
        <x:v>5</x:v>
      </x:c>
      <x:c r="L13" s="26" t="n">
        <x:v>9391</x:v>
      </x:c>
      <x:c r="M13" s="27" t="n">
        <x:v>0.1</x:v>
      </x:c>
      <x:c r="N13" s="26" t="n">
        <x:f>K13*L13</x:f>
        <x:v>46955</x:v>
      </x:c>
      <x:c r="O13" s="26" t="n">
        <x:f>N13*(1-M13)</x:f>
        <x:v>42259.5</x:v>
      </x:c>
      <x:c r="P13" s="26" t="n">
        <x:v>7398</x:v>
      </x:c>
      <x:c r="Q13" s="26" t="n">
        <x:f>K13*P13</x:f>
        <x:v>36990</x:v>
      </x:c>
      <x:c r="R13" s="26" t="n">
        <x:f>O13-Q13</x:f>
        <x:v>5269.5</x:v>
      </x:c>
      <x:c r="S13" s="28" t="n">
        <x:f>IF(O13=0,0,R13/O13)</x:f>
        <x:v>0.12469385581940155</x:v>
      </x:c>
      <x:c r="T13" s="25" t="str">
        <x:v>Debit Card</x:v>
      </x:c>
      <x:c r="U13" s="25" t="str">
        <x:v>Completed</x:v>
      </x:c>
      <x:c r="V13" s="29" t="n">
        <x:v>4</x:v>
      </x:c>
    </x:row>
    <x:row r="14">
      <x:c r="A14" s="23" t="str">
        <x:v>MAN-2025-00013</x:v>
      </x:c>
      <x:c r="B14" s="24" t="n">
        <x:v>45762</x:v>
      </x:c>
      <x:c r="C14" s="25" t="str">
        <x:v>Mansoura</x:v>
      </x:c>
      <x:c r="D14" s="25" t="str">
        <x:v>Sherbin</x:v>
      </x:c>
      <x:c r="E14" s="25" t="str">
        <x:v>Aya Farouk</x:v>
      </x:c>
      <x:c r="F14" s="25" t="str">
        <x:v>Karim Fathy</x:v>
      </x:c>
      <x:c r="G14" s="25" t="str">
        <x:v>Corporate</x:v>
      </x:c>
      <x:c r="H14" s="25" t="str">
        <x:v>Retail Store</x:v>
      </x:c>
      <x:c r="I14" s="25" t="str">
        <x:v>Electronics</x:v>
      </x:c>
      <x:c r="J14" s="25" t="str">
        <x:v>Tablet</x:v>
      </x:c>
      <x:c r="K14" s="25" t="n">
        <x:v>5</x:v>
      </x:c>
      <x:c r="L14" s="26" t="n">
        <x:v>9113</x:v>
      </x:c>
      <x:c r="M14" s="27" t="n">
        <x:v>0.05</x:v>
      </x:c>
      <x:c r="N14" s="26" t="n">
        <x:f>K14*L14</x:f>
        <x:v>45565</x:v>
      </x:c>
      <x:c r="O14" s="26" t="n">
        <x:f>N14*(1-M14)</x:f>
        <x:v>43286.75</x:v>
      </x:c>
      <x:c r="P14" s="26" t="n">
        <x:v>7499</x:v>
      </x:c>
      <x:c r="Q14" s="26" t="n">
        <x:f>K14*P14</x:f>
        <x:v>37495</x:v>
      </x:c>
      <x:c r="R14" s="26" t="n">
        <x:f>O14-Q14</x:f>
        <x:v>5791.75</x:v>
      </x:c>
      <x:c r="S14" s="28" t="n">
        <x:f>IF(O14=0,0,R14/O14)</x:f>
        <x:v>0.13379960380485945</x:v>
      </x:c>
      <x:c r="T14" s="25" t="str">
        <x:v>Bank Transfer</x:v>
      </x:c>
      <x:c r="U14" s="25" t="str">
        <x:v>Completed</x:v>
      </x:c>
      <x:c r="V14" s="29" t="n">
        <x:v>3</x:v>
      </x:c>
    </x:row>
    <x:row r="15">
      <x:c r="A15" s="23" t="str">
        <x:v>MAN-2025-00014</x:v>
      </x:c>
      <x:c r="B15" s="24" t="n">
        <x:v>45762</x:v>
      </x:c>
      <x:c r="C15" s="25" t="str">
        <x:v>Mansoura</x:v>
      </x:c>
      <x:c r="D15" s="25" t="str">
        <x:v>Mit Ghamr</x:v>
      </x:c>
      <x:c r="E15" s="25" t="str">
        <x:v>Ali Sayed</x:v>
      </x:c>
      <x:c r="F15" s="25" t="str">
        <x:v>Mariam Gamal</x:v>
      </x:c>
      <x:c r="G15" s="25" t="str">
        <x:v>Small Business</x:v>
      </x:c>
      <x:c r="H15" s="25" t="str">
        <x:v>Website</x:v>
      </x:c>
      <x:c r="I15" s="25" t="str">
        <x:v>Home Appliances</x:v>
      </x:c>
      <x:c r="J15" s="25" t="str">
        <x:v>Air Conditioner</x:v>
      </x:c>
      <x:c r="K15" s="25" t="n">
        <x:v>3</x:v>
      </x:c>
      <x:c r="L15" s="26" t="n">
        <x:v>20059</x:v>
      </x:c>
      <x:c r="M15" s="27" t="n">
        <x:v>0.1</x:v>
      </x:c>
      <x:c r="N15" s="26" t="n">
        <x:f>K15*L15</x:f>
        <x:v>60177</x:v>
      </x:c>
      <x:c r="O15" s="26" t="n">
        <x:f>N15*(1-M15)</x:f>
        <x:v>54159.3</x:v>
      </x:c>
      <x:c r="P15" s="26" t="n">
        <x:v>17343</x:v>
      </x:c>
      <x:c r="Q15" s="26" t="n">
        <x:f>K15*P15</x:f>
        <x:v>52029</x:v>
      </x:c>
      <x:c r="R15" s="26" t="n">
        <x:f>O15-Q15</x:f>
        <x:v>2130.300000000003</x:v>
      </x:c>
      <x:c r="S15" s="28" t="n">
        <x:f>IF(O15=0,0,R15/O15)</x:f>
        <x:v>0.03933396480382876</x:v>
      </x:c>
      <x:c r="T15" s="25" t="str">
        <x:v>Digital Wallet</x:v>
      </x:c>
      <x:c r="U15" s="25" t="str">
        <x:v>Completed</x:v>
      </x:c>
      <x:c r="V15" s="29" t="n">
        <x:v>3</x:v>
      </x:c>
    </x:row>
    <x:row r="16">
      <x:c r="A16" s="23" t="str">
        <x:v>MAN-2025-00015</x:v>
      </x:c>
      <x:c r="B16" s="24" t="n">
        <x:v>45795</x:v>
      </x:c>
      <x:c r="C16" s="25" t="str">
        <x:v>Mansoura</x:v>
      </x:c>
      <x:c r="D16" s="25" t="str">
        <x:v>Aga</x:v>
      </x:c>
      <x:c r="E16" s="25" t="str">
        <x:v>Salma Mansour</x:v>
      </x:c>
      <x:c r="F16" s="25" t="str">
        <x:v>Salma Adel</x:v>
      </x:c>
      <x:c r="G16" s="25" t="str">
        <x:v>Small Business</x:v>
      </x:c>
      <x:c r="H16" s="25" t="str">
        <x:v>Website</x:v>
      </x:c>
      <x:c r="I16" s="25" t="str">
        <x:v>Office Supplies</x:v>
      </x:c>
      <x:c r="J16" s="25" t="str">
        <x:v>Paper Box</x:v>
      </x:c>
      <x:c r="K16" s="25" t="n">
        <x:v>2</x:v>
      </x:c>
      <x:c r="L16" s="26" t="n">
        <x:v>391</x:v>
      </x:c>
      <x:c r="M16" s="27" t="n">
        <x:v>0.05</x:v>
      </x:c>
      <x:c r="N16" s="26" t="n">
        <x:f>K16*L16</x:f>
        <x:v>782</x:v>
      </x:c>
      <x:c r="O16" s="26" t="n">
        <x:f>N16*(1-M16)</x:f>
        <x:v>742.9</x:v>
      </x:c>
      <x:c r="P16" s="26" t="n">
        <x:v>267</x:v>
      </x:c>
      <x:c r="Q16" s="26" t="n">
        <x:f>K16*P16</x:f>
        <x:v>534</x:v>
      </x:c>
      <x:c r="R16" s="26" t="n">
        <x:f>O16-Q16</x:f>
        <x:v>208.89999999999998</x:v>
      </x:c>
      <x:c r="S16" s="28" t="n">
        <x:f>IF(O16=0,0,R16/O16)</x:f>
        <x:v>0.28119531565486605</x:v>
      </x:c>
      <x:c r="T16" s="25" t="str">
        <x:v>Cash</x:v>
      </x:c>
      <x:c r="U16" s="25" t="str">
        <x:v>Completed</x:v>
      </x:c>
      <x:c r="V16" s="29" t="n">
        <x:v>4</x:v>
      </x:c>
    </x:row>
    <x:row r="17">
      <x:c r="A17" s="23" t="str">
        <x:v>MAN-2025-00016</x:v>
      </x:c>
      <x:c r="B17" s="24" t="n">
        <x:v>45739</x:v>
      </x:c>
      <x:c r="C17" s="25" t="str">
        <x:v>Mansoura</x:v>
      </x:c>
      <x:c r="D17" s="25" t="str">
        <x:v>Talkha</x:v>
      </x:c>
      <x:c r="E17" s="25" t="str">
        <x:v>Salma Mansour</x:v>
      </x:c>
      <x:c r="F17" s="25" t="str">
        <x:v>Mostafa Adel</x:v>
      </x:c>
      <x:c r="G17" s="25" t="str">
        <x:v>Corporate</x:v>
      </x:c>
      <x:c r="H17" s="25" t="str">
        <x:v>Mobile App</x:v>
      </x:c>
      <x:c r="I17" s="25" t="str">
        <x:v>Home Appliances</x:v>
      </x:c>
      <x:c r="J17" s="25" t="str">
        <x:v>Washing Machine</x:v>
      </x:c>
      <x:c r="K17" s="25" t="n">
        <x:v>2</x:v>
      </x:c>
      <x:c r="L17" s="26" t="n">
        <x:v>16935</x:v>
      </x:c>
      <x:c r="M17" s="27" t="n">
        <x:v>0.1</x:v>
      </x:c>
      <x:c r="N17" s="26" t="n">
        <x:f>K17*L17</x:f>
        <x:v>33870</x:v>
      </x:c>
      <x:c r="O17" s="26" t="n">
        <x:f>N17*(1-M17)</x:f>
        <x:v>30483</x:v>
      </x:c>
      <x:c r="P17" s="26" t="n">
        <x:v>14278</x:v>
      </x:c>
      <x:c r="Q17" s="26" t="n">
        <x:f>K17*P17</x:f>
        <x:v>28556</x:v>
      </x:c>
      <x:c r="R17" s="26" t="n">
        <x:f>O17-Q17</x:f>
        <x:v>1927</x:v>
      </x:c>
      <x:c r="S17" s="28" t="n">
        <x:f>IF(O17=0,0,R17/O17)</x:f>
        <x:v>0.06321556277269298</x:v>
      </x:c>
      <x:c r="T17" s="25" t="str">
        <x:v>Debit Card</x:v>
      </x:c>
      <x:c r="U17" s="25" t="str">
        <x:v>Completed</x:v>
      </x:c>
      <x:c r="V17" s="29" t="n">
        <x:v>4</x:v>
      </x:c>
    </x:row>
    <x:row r="18">
      <x:c r="A18" s="23" t="str">
        <x:v>MAN-2025-00017</x:v>
      </x:c>
      <x:c r="B18" s="24" t="n">
        <x:v>45806</x:v>
      </x:c>
      <x:c r="C18" s="25" t="str">
        <x:v>Mansoura</x:v>
      </x:c>
      <x:c r="D18" s="25" t="str">
        <x:v>Aga</x:v>
      </x:c>
      <x:c r="E18" s="25" t="str">
        <x:v>Ali Sayed</x:v>
      </x:c>
      <x:c r="F18" s="25" t="str">
        <x:v>Mahmoud Gamal</x:v>
      </x:c>
      <x:c r="G18" s="25" t="str">
        <x:v>Consumer</x:v>
      </x:c>
      <x:c r="H18" s="25" t="str">
        <x:v>Retail Store</x:v>
      </x:c>
      <x:c r="I18" s="25" t="str">
        <x:v>Furniture</x:v>
      </x:c>
      <x:c r="J18" s="25" t="str">
        <x:v>Bookshelf</x:v>
      </x:c>
      <x:c r="K18" s="25" t="n">
        <x:v>3</x:v>
      </x:c>
      <x:c r="L18" s="26" t="n">
        <x:v>3127</x:v>
      </x:c>
      <x:c r="M18" s="27" t="n">
        <x:v>0.1</x:v>
      </x:c>
      <x:c r="N18" s="26" t="n">
        <x:f>K18*L18</x:f>
        <x:v>9381</x:v>
      </x:c>
      <x:c r="O18" s="26" t="n">
        <x:f>N18*(1-M18)</x:f>
        <x:v>8442.9</x:v>
      </x:c>
      <x:c r="P18" s="26" t="n">
        <x:v>2229</x:v>
      </x:c>
      <x:c r="Q18" s="26" t="n">
        <x:f>K18*P18</x:f>
        <x:v>6687</x:v>
      </x:c>
      <x:c r="R18" s="26" t="n">
        <x:f>O18-Q18</x:f>
        <x:v>1755.8999999999996</x:v>
      </x:c>
      <x:c r="S18" s="28" t="n">
        <x:f>IF(O18=0,0,R18/O18)</x:f>
        <x:v>0.2079735635859716</x:v>
      </x:c>
      <x:c r="T18" s="25" t="str">
        <x:v>Cash</x:v>
      </x:c>
      <x:c r="U18" s="25" t="str">
        <x:v>Cancelled</x:v>
      </x:c>
      <x:c r="V18" s="29" t="n">
        <x:v>4</x:v>
      </x:c>
    </x:row>
    <x:row r="19">
      <x:c r="A19" s="23" t="str">
        <x:v>MAN-2025-00018</x:v>
      </x:c>
      <x:c r="B19" s="24" t="n">
        <x:v>45932</x:v>
      </x:c>
      <x:c r="C19" s="25" t="str">
        <x:v>Mansoura</x:v>
      </x:c>
      <x:c r="D19" s="25" t="str">
        <x:v>Talkha</x:v>
      </x:c>
      <x:c r="E19" s="25" t="str">
        <x:v>Salma Mansour</x:v>
      </x:c>
      <x:c r="F19" s="25" t="str">
        <x:v>Omar Fathy</x:v>
      </x:c>
      <x:c r="G19" s="25" t="str">
        <x:v>Consumer</x:v>
      </x:c>
      <x:c r="H19" s="25" t="str">
        <x:v>Retail Store</x:v>
      </x:c>
      <x:c r="I19" s="25" t="str">
        <x:v>Home Appliances</x:v>
      </x:c>
      <x:c r="J19" s="25" t="str">
        <x:v>Washing Machine</x:v>
      </x:c>
      <x:c r="K19" s="25" t="n">
        <x:v>4</x:v>
      </x:c>
      <x:c r="L19" s="26" t="n">
        <x:v>16873</x:v>
      </x:c>
      <x:c r="M19" s="27" t="n">
        <x:v>0.1</x:v>
      </x:c>
      <x:c r="N19" s="26" t="n">
        <x:f>K19*L19</x:f>
        <x:v>67492</x:v>
      </x:c>
      <x:c r="O19" s="26" t="n">
        <x:f>N19*(1-M19)</x:f>
        <x:v>60742.8</x:v>
      </x:c>
      <x:c r="P19" s="26" t="n">
        <x:v>13947</x:v>
      </x:c>
      <x:c r="Q19" s="26" t="n">
        <x:f>K19*P19</x:f>
        <x:v>55788</x:v>
      </x:c>
      <x:c r="R19" s="26" t="n">
        <x:f>O19-Q19</x:f>
        <x:v>4954.800000000003</x:v>
      </x:c>
      <x:c r="S19" s="28" t="n">
        <x:f>IF(O19=0,0,R19/O19)</x:f>
        <x:v>0.0815701614018452</x:v>
      </x:c>
      <x:c r="T19" s="25" t="str">
        <x:v>Credit Card</x:v>
      </x:c>
      <x:c r="U19" s="25" t="str">
        <x:v>Completed</x:v>
      </x:c>
      <x:c r="V19" s="29" t="n">
        <x:v>4</x:v>
      </x:c>
    </x:row>
    <x:row r="20">
      <x:c r="A20" s="23" t="str">
        <x:v>MAN-2025-00019</x:v>
      </x:c>
      <x:c r="B20" s="24" t="n">
        <x:v>45910</x:v>
      </x:c>
      <x:c r="C20" s="25" t="str">
        <x:v>Mansoura</x:v>
      </x:c>
      <x:c r="D20" s="25" t="str">
        <x:v>Talkha</x:v>
      </x:c>
      <x:c r="E20" s="25" t="str">
        <x:v>Ali Sayed</x:v>
      </x:c>
      <x:c r="F20" s="25" t="str">
        <x:v>Mostafa Farouk</x:v>
      </x:c>
      <x:c r="G20" s="25" t="str">
        <x:v>Small Business</x:v>
      </x:c>
      <x:c r="H20" s="25" t="str">
        <x:v>Website</x:v>
      </x:c>
      <x:c r="I20" s="25" t="str">
        <x:v>Home Appliances</x:v>
      </x:c>
      <x:c r="J20" s="25" t="str">
        <x:v>Blender</x:v>
      </x:c>
      <x:c r="K20" s="25" t="n">
        <x:v>2</x:v>
      </x:c>
      <x:c r="L20" s="26" t="n">
        <x:v>1643</x:v>
      </x:c>
      <x:c r="M20" s="27" t="n">
        <x:v>0.15</x:v>
      </x:c>
      <x:c r="N20" s="26" t="n">
        <x:f>K20*L20</x:f>
        <x:v>3286</x:v>
      </x:c>
      <x:c r="O20" s="26" t="n">
        <x:f>N20*(1-M20)</x:f>
        <x:v>2793.1</x:v>
      </x:c>
      <x:c r="P20" s="26" t="n">
        <x:v>1268</x:v>
      </x:c>
      <x:c r="Q20" s="26" t="n">
        <x:f>K20*P20</x:f>
        <x:v>2536</x:v>
      </x:c>
      <x:c r="R20" s="26" t="n">
        <x:f>O20-Q20</x:f>
        <x:v>257.0999999999999</x:v>
      </x:c>
      <x:c r="S20" s="28" t="n">
        <x:f>IF(O20=0,0,R20/O20)</x:f>
        <x:v>0.09204826178797748</x:v>
      </x:c>
      <x:c r="T20" s="25" t="str">
        <x:v>Cash</x:v>
      </x:c>
      <x:c r="U20" s="25" t="str">
        <x:v>Cancelled</x:v>
      </x:c>
      <x:c r="V20" s="29" t="n">
        <x:v>4</x:v>
      </x:c>
    </x:row>
    <x:row r="21">
      <x:c r="A21" s="23" t="str">
        <x:v>MAN-2025-00020</x:v>
      </x:c>
      <x:c r="B21" s="24" t="n">
        <x:v>45856</x:v>
      </x:c>
      <x:c r="C21" s="25" t="str">
        <x:v>Mansoura</x:v>
      </x:c>
      <x:c r="D21" s="25" t="str">
        <x:v>Mansoura City</x:v>
      </x:c>
      <x:c r="E21" s="25" t="str">
        <x:v>Ali Sayed</x:v>
      </x:c>
      <x:c r="F21" s="25" t="str">
        <x:v>Youssef Gamal</x:v>
      </x:c>
      <x:c r="G21" s="25" t="str">
        <x:v>Consumer</x:v>
      </x:c>
      <x:c r="H21" s="25" t="str">
        <x:v>Mobile App</x:v>
      </x:c>
      <x:c r="I21" s="25" t="str">
        <x:v>Office Supplies</x:v>
      </x:c>
      <x:c r="J21" s="25" t="str">
        <x:v>Ink Cartridge</x:v>
      </x:c>
      <x:c r="K21" s="25" t="n">
        <x:v>3</x:v>
      </x:c>
      <x:c r="L21" s="26" t="n">
        <x:v>844</x:v>
      </x:c>
      <x:c r="M21" s="27" t="n">
        <x:v>0</x:v>
      </x:c>
      <x:c r="N21" s="26" t="n">
        <x:f>K21*L21</x:f>
        <x:v>2532</x:v>
      </x:c>
      <x:c r="O21" s="26" t="n">
        <x:f>N21*(1-M21)</x:f>
        <x:v>2532</x:v>
      </x:c>
      <x:c r="P21" s="26" t="n">
        <x:v>556</x:v>
      </x:c>
      <x:c r="Q21" s="26" t="n">
        <x:f>K21*P21</x:f>
        <x:v>1668</x:v>
      </x:c>
      <x:c r="R21" s="26" t="n">
        <x:f>O21-Q21</x:f>
        <x:v>864</x:v>
      </x:c>
      <x:c r="S21" s="28" t="n">
        <x:f>IF(O21=0,0,R21/O21)</x:f>
        <x:v>0.3412322274881517</x:v>
      </x:c>
      <x:c r="T21" s="25" t="str">
        <x:v>Debit Card</x:v>
      </x:c>
      <x:c r="U21" s="25" t="str">
        <x:v>Completed</x:v>
      </x:c>
      <x:c r="V21" s="29" t="n">
        <x:v>4</x:v>
      </x:c>
    </x:row>
    <x:row r="22">
      <x:c r="A22" s="23" t="str">
        <x:v>MAN-2025-00021</x:v>
      </x:c>
      <x:c r="B22" s="24" t="n">
        <x:v>45665</x:v>
      </x:c>
      <x:c r="C22" s="25" t="str">
        <x:v>Mansoura</x:v>
      </x:c>
      <x:c r="D22" s="25" t="str">
        <x:v>Mansoura City</x:v>
      </x:c>
      <x:c r="E22" s="25" t="str">
        <x:v>Aya Farouk</x:v>
      </x:c>
      <x:c r="F22" s="25" t="str">
        <x:v>Omar Hassan</x:v>
      </x:c>
      <x:c r="G22" s="25" t="str">
        <x:v>Small Business</x:v>
      </x:c>
      <x:c r="H22" s="25" t="str">
        <x:v>Website</x:v>
      </x:c>
      <x:c r="I22" s="25" t="str">
        <x:v>Office Supplies</x:v>
      </x:c>
      <x:c r="J22" s="25" t="str">
        <x:v>Paper Box</x:v>
      </x:c>
      <x:c r="K22" s="25" t="n">
        <x:v>5</x:v>
      </x:c>
      <x:c r="L22" s="26" t="n">
        <x:v>374</x:v>
      </x:c>
      <x:c r="M22" s="27" t="n">
        <x:v>0.1</x:v>
      </x:c>
      <x:c r="N22" s="26" t="n">
        <x:f>K22*L22</x:f>
        <x:v>1870</x:v>
      </x:c>
      <x:c r="O22" s="26" t="n">
        <x:f>N22*(1-M22)</x:f>
        <x:v>1683</x:v>
      </x:c>
      <x:c r="P22" s="26" t="n">
        <x:v>263</x:v>
      </x:c>
      <x:c r="Q22" s="26" t="n">
        <x:f>K22*P22</x:f>
        <x:v>1315</x:v>
      </x:c>
      <x:c r="R22" s="26" t="n">
        <x:f>O22-Q22</x:f>
        <x:v>368</x:v>
      </x:c>
      <x:c r="S22" s="28" t="n">
        <x:f>IF(O22=0,0,R22/O22)</x:f>
        <x:v>0.21865715983363043</x:v>
      </x:c>
      <x:c r="T22" s="25" t="str">
        <x:v>Cash</x:v>
      </x:c>
      <x:c r="U22" s="25" t="str">
        <x:v>Cancelled</x:v>
      </x:c>
      <x:c r="V22" s="29" t="n">
        <x:v>4</x:v>
      </x:c>
    </x:row>
    <x:row r="23">
      <x:c r="A23" s="23" t="str">
        <x:v>MAN-2025-00022</x:v>
      </x:c>
      <x:c r="B23" s="24" t="n">
        <x:v>46005</x:v>
      </x:c>
      <x:c r="C23" s="25" t="str">
        <x:v>Mansoura</x:v>
      </x:c>
      <x:c r="D23" s="25" t="str">
        <x:v>Aga</x:v>
      </x:c>
      <x:c r="E23" s="25" t="str">
        <x:v>Ali Sayed</x:v>
      </x:c>
      <x:c r="F23" s="25" t="str">
        <x:v>Nour Tarek</x:v>
      </x:c>
      <x:c r="G23" s="25" t="str">
        <x:v>Small Business</x:v>
      </x:c>
      <x:c r="H23" s="25" t="str">
        <x:v>Website</x:v>
      </x:c>
      <x:c r="I23" s="25" t="str">
        <x:v>Home Appliances</x:v>
      </x:c>
      <x:c r="J23" s="25" t="str">
        <x:v>Air Conditioner</x:v>
      </x:c>
      <x:c r="K23" s="25" t="n">
        <x:v>6</x:v>
      </x:c>
      <x:c r="L23" s="26" t="n">
        <x:v>20495</x:v>
      </x:c>
      <x:c r="M23" s="27" t="n">
        <x:v>0</x:v>
      </x:c>
      <x:c r="N23" s="26" t="n">
        <x:f>K23*L23</x:f>
        <x:v>122970</x:v>
      </x:c>
      <x:c r="O23" s="26" t="n">
        <x:f>N23*(1-M23)</x:f>
        <x:v>122970</x:v>
      </x:c>
      <x:c r="P23" s="26" t="n">
        <x:v>17394</x:v>
      </x:c>
      <x:c r="Q23" s="26" t="n">
        <x:f>K23*P23</x:f>
        <x:v>104364</x:v>
      </x:c>
      <x:c r="R23" s="26" t="n">
        <x:f>O23-Q23</x:f>
        <x:v>18606</x:v>
      </x:c>
      <x:c r="S23" s="28" t="n">
        <x:f>IF(O23=0,0,R23/O23)</x:f>
        <x:v>0.15130519638936327</x:v>
      </x:c>
      <x:c r="T23" s="25" t="str">
        <x:v>Credit Card</x:v>
      </x:c>
      <x:c r="U23" s="25" t="str">
        <x:v>Cancelled</x:v>
      </x:c>
      <x:c r="V23" s="29" t="n">
        <x:v>5</x:v>
      </x:c>
    </x:row>
    <x:row r="24">
      <x:c r="A24" s="23" t="str">
        <x:v>MAN-2025-00023</x:v>
      </x:c>
      <x:c r="B24" s="24" t="n">
        <x:v>45909</x:v>
      </x:c>
      <x:c r="C24" s="25" t="str">
        <x:v>Mansoura</x:v>
      </x:c>
      <x:c r="D24" s="25" t="str">
        <x:v>Mit Ghamr</x:v>
      </x:c>
      <x:c r="E24" s="25" t="str">
        <x:v>Aya Farouk</x:v>
      </x:c>
      <x:c r="F24" s="25" t="str">
        <x:v>Ahmed Farouk</x:v>
      </x:c>
      <x:c r="G24" s="25" t="str">
        <x:v>Consumer</x:v>
      </x:c>
      <x:c r="H24" s="25" t="str">
        <x:v>Website</x:v>
      </x:c>
      <x:c r="I24" s="25" t="str">
        <x:v>Office Supplies</x:v>
      </x:c>
      <x:c r="J24" s="25" t="str">
        <x:v>Printer</x:v>
      </x:c>
      <x:c r="K24" s="25" t="n">
        <x:v>3</x:v>
      </x:c>
      <x:c r="L24" s="26" t="n">
        <x:v>6401</x:v>
      </x:c>
      <x:c r="M24" s="27" t="n">
        <x:v>0.1</x:v>
      </x:c>
      <x:c r="N24" s="26" t="n">
        <x:f>K24*L24</x:f>
        <x:v>19203</x:v>
      </x:c>
      <x:c r="O24" s="26" t="n">
        <x:f>N24*(1-M24)</x:f>
        <x:v>17282.7</x:v>
      </x:c>
      <x:c r="P24" s="26" t="n">
        <x:v>5216</x:v>
      </x:c>
      <x:c r="Q24" s="26" t="n">
        <x:f>K24*P24</x:f>
        <x:v>15648</x:v>
      </x:c>
      <x:c r="R24" s="26" t="n">
        <x:f>O24-Q24</x:f>
        <x:v>1634.7000000000007</x:v>
      </x:c>
      <x:c r="S24" s="28" t="n">
        <x:f>IF(O24=0,0,R24/O24)</x:f>
        <x:v>0.09458591539516399</x:v>
      </x:c>
      <x:c r="T24" s="25" t="str">
        <x:v>Debit Card</x:v>
      </x:c>
      <x:c r="U24" s="25" t="str">
        <x:v>Completed</x:v>
      </x:c>
      <x:c r="V24" s="29" t="n">
        <x:v>5</x:v>
      </x:c>
    </x:row>
    <x:row r="25">
      <x:c r="A25" s="23" t="str">
        <x:v>MAN-2025-00024</x:v>
      </x:c>
      <x:c r="B25" s="24" t="n">
        <x:v>45986</x:v>
      </x:c>
      <x:c r="C25" s="25" t="str">
        <x:v>Mansoura</x:v>
      </x:c>
      <x:c r="D25" s="25" t="str">
        <x:v>Mansoura City</x:v>
      </x:c>
      <x:c r="E25" s="25" t="str">
        <x:v>Salma Mansour</x:v>
      </x:c>
      <x:c r="F25" s="25" t="str">
        <x:v>Nour Sayed</x:v>
      </x:c>
      <x:c r="G25" s="25" t="str">
        <x:v>Small Business</x:v>
      </x:c>
      <x:c r="H25" s="25" t="str">
        <x:v>Website</x:v>
      </x:c>
      <x:c r="I25" s="25" t="str">
        <x:v>Office Supplies</x:v>
      </x:c>
      <x:c r="J25" s="25" t="str">
        <x:v>Printer</x:v>
      </x:c>
      <x:c r="K25" s="25" t="n">
        <x:v>1</x:v>
      </x:c>
      <x:c r="L25" s="26" t="n">
        <x:v>6779</x:v>
      </x:c>
      <x:c r="M25" s="27" t="n">
        <x:v>0.1</x:v>
      </x:c>
      <x:c r="N25" s="26" t="n">
        <x:f>K25*L25</x:f>
        <x:v>6779</x:v>
      </x:c>
      <x:c r="O25" s="26" t="n">
        <x:f>N25*(1-M25)</x:f>
        <x:v>6101.1</x:v>
      </x:c>
      <x:c r="P25" s="26" t="n">
        <x:v>5356</x:v>
      </x:c>
      <x:c r="Q25" s="26" t="n">
        <x:f>K25*P25</x:f>
        <x:v>5356</x:v>
      </x:c>
      <x:c r="R25" s="26" t="n">
        <x:f>O25-Q25</x:f>
        <x:v>745.1000000000004</x:v>
      </x:c>
      <x:c r="S25" s="28" t="n">
        <x:f>IF(O25=0,0,R25/O25)</x:f>
        <x:v>0.12212551834915021</x:v>
      </x:c>
      <x:c r="T25" s="25" t="str">
        <x:v>Digital Wallet</x:v>
      </x:c>
      <x:c r="U25" s="25" t="str">
        <x:v>Returned</x:v>
      </x:c>
      <x:c r="V25" s="29" t="n">
        <x:v>3</x:v>
      </x:c>
    </x:row>
    <x:row r="26">
      <x:c r="A26" s="23" t="str">
        <x:v>MAN-2025-00025</x:v>
      </x:c>
      <x:c r="B26" s="24" t="n">
        <x:v>45884</x:v>
      </x:c>
      <x:c r="C26" s="25" t="str">
        <x:v>Mansoura</x:v>
      </x:c>
      <x:c r="D26" s="25" t="str">
        <x:v>Sherbin</x:v>
      </x:c>
      <x:c r="E26" s="25" t="str">
        <x:v>Ali Sayed</x:v>
      </x:c>
      <x:c r="F26" s="25" t="str">
        <x:v>Sara Adel</x:v>
      </x:c>
      <x:c r="G26" s="25" t="str">
        <x:v>Consumer</x:v>
      </x:c>
      <x:c r="H26" s="25" t="str">
        <x:v>Website</x:v>
      </x:c>
      <x:c r="I26" s="25" t="str">
        <x:v>Home Appliances</x:v>
      </x:c>
      <x:c r="J26" s="25" t="str">
        <x:v>Microwave</x:v>
      </x:c>
      <x:c r="K26" s="25" t="n">
        <x:v>4</x:v>
      </x:c>
      <x:c r="L26" s="26" t="n">
        <x:v>5831</x:v>
      </x:c>
      <x:c r="M26" s="27" t="n">
        <x:v>0.1</x:v>
      </x:c>
      <x:c r="N26" s="26" t="n">
        <x:f>K26*L26</x:f>
        <x:v>23324</x:v>
      </x:c>
      <x:c r="O26" s="26" t="n">
        <x:f>N26*(1-M26)</x:f>
        <x:v>20991.600000000002</x:v>
      </x:c>
      <x:c r="P26" s="26" t="n">
        <x:v>4282</x:v>
      </x:c>
      <x:c r="Q26" s="26" t="n">
        <x:f>K26*P26</x:f>
        <x:v>17128</x:v>
      </x:c>
      <x:c r="R26" s="26" t="n">
        <x:f>O26-Q26</x:f>
        <x:v>3863.600000000002</x:v>
      </x:c>
      <x:c r="S26" s="28" t="n">
        <x:f>IF(O26=0,0,R26/O26)</x:f>
        <x:v>0.18405457421063673</x:v>
      </x:c>
      <x:c r="T26" s="25" t="str">
        <x:v>Credit Card</x:v>
      </x:c>
      <x:c r="U26" s="25" t="str">
        <x:v>Completed</x:v>
      </x:c>
      <x:c r="V26" s="29" t="n">
        <x:v>4</x:v>
      </x:c>
    </x:row>
    <x:row r="27">
      <x:c r="A27" s="23" t="str">
        <x:v>MAN-2025-00026</x:v>
      </x:c>
      <x:c r="B27" s="24" t="n">
        <x:v>45823</x:v>
      </x:c>
      <x:c r="C27" s="25" t="str">
        <x:v>Mansoura</x:v>
      </x:c>
      <x:c r="D27" s="25" t="str">
        <x:v>Aga</x:v>
      </x:c>
      <x:c r="E27" s="25" t="str">
        <x:v>Ali Sayed</x:v>
      </x:c>
      <x:c r="F27" s="25" t="str">
        <x:v>Sara Gamal</x:v>
      </x:c>
      <x:c r="G27" s="25" t="str">
        <x:v>Consumer</x:v>
      </x:c>
      <x:c r="H27" s="25" t="str">
        <x:v>Mobile App</x:v>
      </x:c>
      <x:c r="I27" s="25" t="str">
        <x:v>Furniture</x:v>
      </x:c>
      <x:c r="J27" s="25" t="str">
        <x:v>Bookshelf</x:v>
      </x:c>
      <x:c r="K27" s="25" t="n">
        <x:v>4</x:v>
      </x:c>
      <x:c r="L27" s="26" t="n">
        <x:v>2846</x:v>
      </x:c>
      <x:c r="M27" s="27" t="n">
        <x:v>0.1</x:v>
      </x:c>
      <x:c r="N27" s="26" t="n">
        <x:f>K27*L27</x:f>
        <x:v>11384</x:v>
      </x:c>
      <x:c r="O27" s="26" t="n">
        <x:f>N27*(1-M27)</x:f>
        <x:v>10245.6</x:v>
      </x:c>
      <x:c r="P27" s="26" t="n">
        <x:v>2207</x:v>
      </x:c>
      <x:c r="Q27" s="26" t="n">
        <x:f>K27*P27</x:f>
        <x:v>8828</x:v>
      </x:c>
      <x:c r="R27" s="26" t="n">
        <x:f>O27-Q27</x:f>
        <x:v>1417.6000000000004</x:v>
      </x:c>
      <x:c r="S27" s="28" t="n">
        <x:f>IF(O27=0,0,R27/O27)</x:f>
        <x:v>0.1383618333723745</x:v>
      </x:c>
      <x:c r="T27" s="25" t="str">
        <x:v>Debit Card</x:v>
      </x:c>
      <x:c r="U27" s="25" t="str">
        <x:v>Completed</x:v>
      </x:c>
      <x:c r="V27" s="29" t="n">
        <x:v>5</x:v>
      </x:c>
    </x:row>
    <x:row r="28">
      <x:c r="A28" s="23" t="str">
        <x:v>MAN-2025-00027</x:v>
      </x:c>
      <x:c r="B28" s="24" t="n">
        <x:v>46003</x:v>
      </x:c>
      <x:c r="C28" s="25" t="str">
        <x:v>Mansoura</x:v>
      </x:c>
      <x:c r="D28" s="25" t="str">
        <x:v>Sherbin</x:v>
      </x:c>
      <x:c r="E28" s="25" t="str">
        <x:v>Salma Mansour</x:v>
      </x:c>
      <x:c r="F28" s="25" t="str">
        <x:v>Aya Mansour</x:v>
      </x:c>
      <x:c r="G28" s="25" t="str">
        <x:v>Consumer</x:v>
      </x:c>
      <x:c r="H28" s="25" t="str">
        <x:v>Retail Store</x:v>
      </x:c>
      <x:c r="I28" s="25" t="str">
        <x:v>Home Appliances</x:v>
      </x:c>
      <x:c r="J28" s="25" t="str">
        <x:v>Washing Machine</x:v>
      </x:c>
      <x:c r="K28" s="25" t="n">
        <x:v>2</x:v>
      </x:c>
      <x:c r="L28" s="26" t="n">
        <x:v>17048</x:v>
      </x:c>
      <x:c r="M28" s="27" t="n">
        <x:v>0</x:v>
      </x:c>
      <x:c r="N28" s="26" t="n">
        <x:f>K28*L28</x:f>
        <x:v>34096</x:v>
      </x:c>
      <x:c r="O28" s="26" t="n">
        <x:f>N28*(1-M28)</x:f>
        <x:v>34096</x:v>
      </x:c>
      <x:c r="P28" s="26" t="n">
        <x:v>14652</x:v>
      </x:c>
      <x:c r="Q28" s="26" t="n">
        <x:f>K28*P28</x:f>
        <x:v>29304</x:v>
      </x:c>
      <x:c r="R28" s="26" t="n">
        <x:f>O28-Q28</x:f>
        <x:v>4792</x:v>
      </x:c>
      <x:c r="S28" s="28" t="n">
        <x:f>IF(O28=0,0,R28/O28)</x:f>
        <x:v>0.14054434537775692</x:v>
      </x:c>
      <x:c r="T28" s="25" t="str">
        <x:v>Cash</x:v>
      </x:c>
      <x:c r="U28" s="25" t="str">
        <x:v>Cancelled</x:v>
      </x:c>
      <x:c r="V28" s="29" t="n">
        <x:v>4</x:v>
      </x:c>
    </x:row>
    <x:row r="29">
      <x:c r="A29" s="23" t="str">
        <x:v>MAN-2025-00028</x:v>
      </x:c>
      <x:c r="B29" s="24" t="n">
        <x:v>45943</x:v>
      </x:c>
      <x:c r="C29" s="25" t="str">
        <x:v>Mansoura</x:v>
      </x:c>
      <x:c r="D29" s="25" t="str">
        <x:v>Aga</x:v>
      </x:c>
      <x:c r="E29" s="25" t="str">
        <x:v>Ali Sayed</x:v>
      </x:c>
      <x:c r="F29" s="25" t="str">
        <x:v>Aya Farouk</x:v>
      </x:c>
      <x:c r="G29" s="25" t="str">
        <x:v>Corporate</x:v>
      </x:c>
      <x:c r="H29" s="25" t="str">
        <x:v>Phone Order</x:v>
      </x:c>
      <x:c r="I29" s="25" t="str">
        <x:v>Electronics</x:v>
      </x:c>
      <x:c r="J29" s="25" t="str">
        <x:v>Laptop</x:v>
      </x:c>
      <x:c r="K29" s="25" t="n">
        <x:v>6</x:v>
      </x:c>
      <x:c r="L29" s="26" t="n">
        <x:v>24107</x:v>
      </x:c>
      <x:c r="M29" s="27" t="n">
        <x:v>0.1</x:v>
      </x:c>
      <x:c r="N29" s="26" t="n">
        <x:f>K29*L29</x:f>
        <x:v>144642</x:v>
      </x:c>
      <x:c r="O29" s="26" t="n">
        <x:f>N29*(1-M29)</x:f>
        <x:v>130177.8</x:v>
      </x:c>
      <x:c r="P29" s="26" t="n">
        <x:v>21012</x:v>
      </x:c>
      <x:c r="Q29" s="26" t="n">
        <x:f>K29*P29</x:f>
        <x:v>126072</x:v>
      </x:c>
      <x:c r="R29" s="26" t="n">
        <x:f>O29-Q29</x:f>
        <x:v>4105.800000000003</x:v>
      </x:c>
      <x:c r="S29" s="28" t="n">
        <x:f>IF(O29=0,0,R29/O29)</x:f>
        <x:v>0.03153993998976786</x:v>
      </x:c>
      <x:c r="T29" s="25" t="str">
        <x:v>Bank Transfer</x:v>
      </x:c>
      <x:c r="U29" s="25" t="str">
        <x:v>Returned</x:v>
      </x:c>
      <x:c r="V29" s="29" t="n">
        <x:v>3</x:v>
      </x:c>
    </x:row>
    <x:row r="30">
      <x:c r="A30" s="23" t="str">
        <x:v>MAN-2025-00029</x:v>
      </x:c>
      <x:c r="B30" s="24" t="n">
        <x:v>45780</x:v>
      </x:c>
      <x:c r="C30" s="25" t="str">
        <x:v>Mansoura</x:v>
      </x:c>
      <x:c r="D30" s="25" t="str">
        <x:v>Mit Ghamr</x:v>
      </x:c>
      <x:c r="E30" s="25" t="str">
        <x:v>Salma Mansour</x:v>
      </x:c>
      <x:c r="F30" s="25" t="str">
        <x:v>Youssef Ibrahim</x:v>
      </x:c>
      <x:c r="G30" s="25" t="str">
        <x:v>Consumer</x:v>
      </x:c>
      <x:c r="H30" s="25" t="str">
        <x:v>Phone Order</x:v>
      </x:c>
      <x:c r="I30" s="25" t="str">
        <x:v>Home Appliances</x:v>
      </x:c>
      <x:c r="J30" s="25" t="str">
        <x:v>Blender</x:v>
      </x:c>
      <x:c r="K30" s="25" t="n">
        <x:v>3</x:v>
      </x:c>
      <x:c r="L30" s="26" t="n">
        <x:v>1777</x:v>
      </x:c>
      <x:c r="M30" s="27" t="n">
        <x:v>0</x:v>
      </x:c>
      <x:c r="N30" s="26" t="n">
        <x:f>K30*L30</x:f>
        <x:v>5331</x:v>
      </x:c>
      <x:c r="O30" s="26" t="n">
        <x:f>N30*(1-M30)</x:f>
        <x:v>5331</x:v>
      </x:c>
      <x:c r="P30" s="26" t="n">
        <x:v>1266</x:v>
      </x:c>
      <x:c r="Q30" s="26" t="n">
        <x:f>K30*P30</x:f>
        <x:v>3798</x:v>
      </x:c>
      <x:c r="R30" s="26" t="n">
        <x:f>O30-Q30</x:f>
        <x:v>1533</x:v>
      </x:c>
      <x:c r="S30" s="28" t="n">
        <x:f>IF(O30=0,0,R30/O30)</x:f>
        <x:v>0.28756330894766463</x:v>
      </x:c>
      <x:c r="T30" s="25" t="str">
        <x:v>Credit Card</x:v>
      </x:c>
      <x:c r="U30" s="25" t="str">
        <x:v>Completed</x:v>
      </x:c>
      <x:c r="V30" s="29" t="n">
        <x:v>5</x:v>
      </x:c>
    </x:row>
    <x:row r="31">
      <x:c r="A31" s="23" t="str">
        <x:v>MAN-2025-00030</x:v>
      </x:c>
      <x:c r="B31" s="24" t="n">
        <x:v>45945</x:v>
      </x:c>
      <x:c r="C31" s="25" t="str">
        <x:v>Mansoura</x:v>
      </x:c>
      <x:c r="D31" s="25" t="str">
        <x:v>Sherbin</x:v>
      </x:c>
      <x:c r="E31" s="25" t="str">
        <x:v>Ali Sayed</x:v>
      </x:c>
      <x:c r="F31" s="25" t="str">
        <x:v>Mahmoud Khalil</x:v>
      </x:c>
      <x:c r="G31" s="25" t="str">
        <x:v>Corporate</x:v>
      </x:c>
      <x:c r="H31" s="25" t="str">
        <x:v>Website</x:v>
      </x:c>
      <x:c r="I31" s="25" t="str">
        <x:v>Electronics</x:v>
      </x:c>
      <x:c r="J31" s="25" t="str">
        <x:v>Tablet</x:v>
      </x:c>
      <x:c r="K31" s="25" t="n">
        <x:v>5</x:v>
      </x:c>
      <x:c r="L31" s="26" t="n">
        <x:v>8839</x:v>
      </x:c>
      <x:c r="M31" s="27" t="n">
        <x:v>0.05</x:v>
      </x:c>
      <x:c r="N31" s="26" t="n">
        <x:f>K31*L31</x:f>
        <x:v>44195</x:v>
      </x:c>
      <x:c r="O31" s="26" t="n">
        <x:f>N31*(1-M31)</x:f>
        <x:v>41985.25</x:v>
      </x:c>
      <x:c r="P31" s="26" t="n">
        <x:v>7497</x:v>
      </x:c>
      <x:c r="Q31" s="26" t="n">
        <x:f>K31*P31</x:f>
        <x:v>37485</x:v>
      </x:c>
      <x:c r="R31" s="26" t="n">
        <x:f>O31-Q31</x:f>
        <x:v>4500.25</x:v>
      </x:c>
      <x:c r="S31" s="28" t="n">
        <x:f>IF(O31=0,0,R31/O31)</x:f>
        <x:v>0.1071864523850638</x:v>
      </x:c>
      <x:c r="T31" s="25" t="str">
        <x:v>Digital Wallet</x:v>
      </x:c>
      <x:c r="U31" s="25" t="str">
        <x:v>Completed</x:v>
      </x:c>
      <x:c r="V31" s="29" t="n">
        <x:v>5</x:v>
      </x:c>
    </x:row>
    <x:row r="32">
      <x:c r="A32" s="23" t="str">
        <x:v>MAN-2025-00031</x:v>
      </x:c>
      <x:c r="B32" s="24" t="n">
        <x:v>45917</x:v>
      </x:c>
      <x:c r="C32" s="25" t="str">
        <x:v>Mansoura</x:v>
      </x:c>
      <x:c r="D32" s="25" t="str">
        <x:v>Mit Ghamr</x:v>
      </x:c>
      <x:c r="E32" s="25" t="str">
        <x:v>Salma Mansour</x:v>
      </x:c>
      <x:c r="F32" s="25" t="str">
        <x:v>Amr Samir</x:v>
      </x:c>
      <x:c r="G32" s="25" t="str">
        <x:v>Corporate</x:v>
      </x:c>
      <x:c r="H32" s="25" t="str">
        <x:v>Website</x:v>
      </x:c>
      <x:c r="I32" s="25" t="str">
        <x:v>Office Supplies</x:v>
      </x:c>
      <x:c r="J32" s="25" t="str">
        <x:v>Printer</x:v>
      </x:c>
      <x:c r="K32" s="25" t="n">
        <x:v>4</x:v>
      </x:c>
      <x:c r="L32" s="26" t="n">
        <x:v>6181</x:v>
      </x:c>
      <x:c r="M32" s="27" t="n">
        <x:v>0</x:v>
      </x:c>
      <x:c r="N32" s="26" t="n">
        <x:f>K32*L32</x:f>
        <x:v>24724</x:v>
      </x:c>
      <x:c r="O32" s="26" t="n">
        <x:f>N32*(1-M32)</x:f>
        <x:v>24724</x:v>
      </x:c>
      <x:c r="P32" s="26" t="n">
        <x:v>5268</x:v>
      </x:c>
      <x:c r="Q32" s="26" t="n">
        <x:f>K32*P32</x:f>
        <x:v>21072</x:v>
      </x:c>
      <x:c r="R32" s="26" t="n">
        <x:f>O32-Q32</x:f>
        <x:v>3652</x:v>
      </x:c>
      <x:c r="S32" s="28" t="n">
        <x:f>IF(O32=0,0,R32/O32)</x:f>
        <x:v>0.1477107264196732</x:v>
      </x:c>
      <x:c r="T32" s="25" t="str">
        <x:v>Debit Card</x:v>
      </x:c>
      <x:c r="U32" s="25" t="str">
        <x:v>Completed</x:v>
      </x:c>
      <x:c r="V32" s="29" t="n">
        <x:v>4</x:v>
      </x:c>
    </x:row>
    <x:row r="33">
      <x:c r="A33" s="23" t="str">
        <x:v>MAN-2025-00032</x:v>
      </x:c>
      <x:c r="B33" s="24" t="n">
        <x:v>45773</x:v>
      </x:c>
      <x:c r="C33" s="25" t="str">
        <x:v>Mansoura</x:v>
      </x:c>
      <x:c r="D33" s="25" t="str">
        <x:v>Mit Ghamr</x:v>
      </x:c>
      <x:c r="E33" s="25" t="str">
        <x:v>Aya Farouk</x:v>
      </x:c>
      <x:c r="F33" s="25" t="str">
        <x:v>Salma Tarek</x:v>
      </x:c>
      <x:c r="G33" s="25" t="str">
        <x:v>Consumer</x:v>
      </x:c>
      <x:c r="H33" s="25" t="str">
        <x:v>Phone Order</x:v>
      </x:c>
      <x:c r="I33" s="25" t="str">
        <x:v>Electronics</x:v>
      </x:c>
      <x:c r="J33" s="25" t="str">
        <x:v>Smartphone</x:v>
      </x:c>
      <x:c r="K33" s="25" t="n">
        <x:v>6</x:v>
      </x:c>
      <x:c r="L33" s="26" t="n">
        <x:v>13709</x:v>
      </x:c>
      <x:c r="M33" s="27" t="n">
        <x:v>0.05</x:v>
      </x:c>
      <x:c r="N33" s="26" t="n">
        <x:f>K33*L33</x:f>
        <x:v>82254</x:v>
      </x:c>
      <x:c r="O33" s="26" t="n">
        <x:f>N33*(1-M33)</x:f>
        <x:v>78141.3</x:v>
      </x:c>
      <x:c r="P33" s="26" t="n">
        <x:v>11095</x:v>
      </x:c>
      <x:c r="Q33" s="26" t="n">
        <x:f>K33*P33</x:f>
        <x:v>66570</x:v>
      </x:c>
      <x:c r="R33" s="26" t="n">
        <x:f>O33-Q33</x:f>
        <x:v>11571.300000000003</x:v>
      </x:c>
      <x:c r="S33" s="28" t="n">
        <x:f>IF(O33=0,0,R33/O33)</x:f>
        <x:v>0.14808174422488496</x:v>
      </x:c>
      <x:c r="T33" s="25" t="str">
        <x:v>Bank Transfer</x:v>
      </x:c>
      <x:c r="U33" s="25" t="str">
        <x:v>Completed</x:v>
      </x:c>
      <x:c r="V33" s="29" t="n">
        <x:v>5</x:v>
      </x:c>
    </x:row>
    <x:row r="34">
      <x:c r="A34" s="23" t="str">
        <x:v>MAN-2025-00033</x:v>
      </x:c>
      <x:c r="B34" s="24" t="n">
        <x:v>45993</x:v>
      </x:c>
      <x:c r="C34" s="25" t="str">
        <x:v>Mansoura</x:v>
      </x:c>
      <x:c r="D34" s="25" t="str">
        <x:v>Sherbin</x:v>
      </x:c>
      <x:c r="E34" s="25" t="str">
        <x:v>Aya Farouk</x:v>
      </x:c>
      <x:c r="F34" s="25" t="str">
        <x:v>Mariam Mansour</x:v>
      </x:c>
      <x:c r="G34" s="25" t="str">
        <x:v>Consumer</x:v>
      </x:c>
      <x:c r="H34" s="25" t="str">
        <x:v>Website</x:v>
      </x:c>
      <x:c r="I34" s="25" t="str">
        <x:v>Office Supplies</x:v>
      </x:c>
      <x:c r="J34" s="25" t="str">
        <x:v>Ink Cartridge</x:v>
      </x:c>
      <x:c r="K34" s="25" t="n">
        <x:v>2</x:v>
      </x:c>
      <x:c r="L34" s="26" t="n">
        <x:v>895</x:v>
      </x:c>
      <x:c r="M34" s="27" t="n">
        <x:v>0.1</x:v>
      </x:c>
      <x:c r="N34" s="26" t="n">
        <x:f>K34*L34</x:f>
        <x:v>1790</x:v>
      </x:c>
      <x:c r="O34" s="26" t="n">
        <x:f>N34*(1-M34)</x:f>
        <x:v>1611</x:v>
      </x:c>
      <x:c r="P34" s="26" t="n">
        <x:v>576</x:v>
      </x:c>
      <x:c r="Q34" s="26" t="n">
        <x:f>K34*P34</x:f>
        <x:v>1152</x:v>
      </x:c>
      <x:c r="R34" s="26" t="n">
        <x:f>O34-Q34</x:f>
        <x:v>459</x:v>
      </x:c>
      <x:c r="S34" s="28" t="n">
        <x:f>IF(O34=0,0,R34/O34)</x:f>
        <x:v>0.2849162011173184</x:v>
      </x:c>
      <x:c r="T34" s="25" t="str">
        <x:v>Bank Transfer</x:v>
      </x:c>
      <x:c r="U34" s="25" t="str">
        <x:v>Completed</x:v>
      </x:c>
      <x:c r="V34" s="29" t="n">
        <x:v>4</x:v>
      </x:c>
    </x:row>
    <x:row r="35">
      <x:c r="A35" s="23" t="str">
        <x:v>MAN-2025-00034</x:v>
      </x:c>
      <x:c r="B35" s="24" t="n">
        <x:v>45935</x:v>
      </x:c>
      <x:c r="C35" s="25" t="str">
        <x:v>Mansoura</x:v>
      </x:c>
      <x:c r="D35" s="25" t="str">
        <x:v>Talkha</x:v>
      </x:c>
      <x:c r="E35" s="25" t="str">
        <x:v>Youssef Fathy</x:v>
      </x:c>
      <x:c r="F35" s="25" t="str">
        <x:v>Amr Farouk</x:v>
      </x:c>
      <x:c r="G35" s="25" t="str">
        <x:v>Consumer</x:v>
      </x:c>
      <x:c r="H35" s="25" t="str">
        <x:v>Mobile App</x:v>
      </x:c>
      <x:c r="I35" s="25" t="str">
        <x:v>Office Supplies</x:v>
      </x:c>
      <x:c r="J35" s="25" t="str">
        <x:v>Printer</x:v>
      </x:c>
      <x:c r="K35" s="25" t="n">
        <x:v>5</x:v>
      </x:c>
      <x:c r="L35" s="26" t="n">
        <x:v>6333</x:v>
      </x:c>
      <x:c r="M35" s="27" t="n">
        <x:v>0.1</x:v>
      </x:c>
      <x:c r="N35" s="26" t="n">
        <x:f>K35*L35</x:f>
        <x:v>31665</x:v>
      </x:c>
      <x:c r="O35" s="26" t="n">
        <x:f>N35*(1-M35)</x:f>
        <x:v>28498.5</x:v>
      </x:c>
      <x:c r="P35" s="26" t="n">
        <x:v>5537</x:v>
      </x:c>
      <x:c r="Q35" s="26" t="n">
        <x:f>K35*P35</x:f>
        <x:v>27685</x:v>
      </x:c>
      <x:c r="R35" s="26" t="n">
        <x:f>O35-Q35</x:f>
        <x:v>813.5</x:v>
      </x:c>
      <x:c r="S35" s="28" t="n">
        <x:f>IF(O35=0,0,R35/O35)</x:f>
        <x:v>0.028545362036598416</x:v>
      </x:c>
      <x:c r="T35" s="25" t="str">
        <x:v>Debit Card</x:v>
      </x:c>
      <x:c r="U35" s="25" t="str">
        <x:v>Completed</x:v>
      </x:c>
      <x:c r="V35" s="29" t="n">
        <x:v>5</x:v>
      </x:c>
    </x:row>
    <x:row r="36">
      <x:c r="A36" s="23" t="str">
        <x:v>MAN-2025-00035</x:v>
      </x:c>
      <x:c r="B36" s="24" t="n">
        <x:v>45833</x:v>
      </x:c>
      <x:c r="C36" s="25" t="str">
        <x:v>Mansoura</x:v>
      </x:c>
      <x:c r="D36" s="25" t="str">
        <x:v>Sherbin</x:v>
      </x:c>
      <x:c r="E36" s="25" t="str">
        <x:v>Youssef Fathy</x:v>
      </x:c>
      <x:c r="F36" s="25" t="str">
        <x:v>Karim Hassan</x:v>
      </x:c>
      <x:c r="G36" s="25" t="str">
        <x:v>Consumer</x:v>
      </x:c>
      <x:c r="H36" s="25" t="str">
        <x:v>Website</x:v>
      </x:c>
      <x:c r="I36" s="25" t="str">
        <x:v>Home Appliances</x:v>
      </x:c>
      <x:c r="J36" s="25" t="str">
        <x:v>Air Conditioner</x:v>
      </x:c>
      <x:c r="K36" s="25" t="n">
        <x:v>6</x:v>
      </x:c>
      <x:c r="L36" s="26" t="n">
        <x:v>20304</x:v>
      </x:c>
      <x:c r="M36" s="27" t="n">
        <x:v>0</x:v>
      </x:c>
      <x:c r="N36" s="26" t="n">
        <x:f>K36*L36</x:f>
        <x:v>121824</x:v>
      </x:c>
      <x:c r="O36" s="26" t="n">
        <x:f>N36*(1-M36)</x:f>
        <x:v>121824</x:v>
      </x:c>
      <x:c r="P36" s="26" t="n">
        <x:v>17530</x:v>
      </x:c>
      <x:c r="Q36" s="26" t="n">
        <x:f>K36*P36</x:f>
        <x:v>105180</x:v>
      </x:c>
      <x:c r="R36" s="26" t="n">
        <x:f>O36-Q36</x:f>
        <x:v>16644</x:v>
      </x:c>
      <x:c r="S36" s="28" t="n">
        <x:f>IF(O36=0,0,R36/O36)</x:f>
        <x:v>0.13662332545311268</x:v>
      </x:c>
      <x:c r="T36" s="25" t="str">
        <x:v>Cash</x:v>
      </x:c>
      <x:c r="U36" s="25" t="str">
        <x:v>Completed</x:v>
      </x:c>
      <x:c r="V36" s="29" t="n">
        <x:v>5</x:v>
      </x:c>
    </x:row>
    <x:row r="37">
      <x:c r="A37" s="23" t="str">
        <x:v>MAN-2025-00036</x:v>
      </x:c>
      <x:c r="B37" s="24" t="n">
        <x:v>45772</x:v>
      </x:c>
      <x:c r="C37" s="25" t="str">
        <x:v>Mansoura</x:v>
      </x:c>
      <x:c r="D37" s="25" t="str">
        <x:v>Aga</x:v>
      </x:c>
      <x:c r="E37" s="25" t="str">
        <x:v>Salma Mansour</x:v>
      </x:c>
      <x:c r="F37" s="25" t="str">
        <x:v>Omar Khalil</x:v>
      </x:c>
      <x:c r="G37" s="25" t="str">
        <x:v>Consumer</x:v>
      </x:c>
      <x:c r="H37" s="25" t="str">
        <x:v>Website</x:v>
      </x:c>
      <x:c r="I37" s="25" t="str">
        <x:v>Home Appliances</x:v>
      </x:c>
      <x:c r="J37" s="25" t="str">
        <x:v>Blender</x:v>
      </x:c>
      <x:c r="K37" s="25" t="n">
        <x:v>3</x:v>
      </x:c>
      <x:c r="L37" s="26" t="n">
        <x:v>1690</x:v>
      </x:c>
      <x:c r="M37" s="27" t="n">
        <x:v>0</x:v>
      </x:c>
      <x:c r="N37" s="26" t="n">
        <x:f>K37*L37</x:f>
        <x:v>5070</x:v>
      </x:c>
      <x:c r="O37" s="26" t="n">
        <x:f>N37*(1-M37)</x:f>
        <x:v>5070</x:v>
      </x:c>
      <x:c r="P37" s="26" t="n">
        <x:v>1280</x:v>
      </x:c>
      <x:c r="Q37" s="26" t="n">
        <x:f>K37*P37</x:f>
        <x:v>3840</x:v>
      </x:c>
      <x:c r="R37" s="26" t="n">
        <x:f>O37-Q37</x:f>
        <x:v>1230</x:v>
      </x:c>
      <x:c r="S37" s="28" t="n">
        <x:f>IF(O37=0,0,R37/O37)</x:f>
        <x:v>0.24260355029585798</x:v>
      </x:c>
      <x:c r="T37" s="25" t="str">
        <x:v>Debit Card</x:v>
      </x:c>
      <x:c r="U37" s="25" t="str">
        <x:v>Completed</x:v>
      </x:c>
      <x:c r="V37" s="29" t="n">
        <x:v>4</x:v>
      </x:c>
    </x:row>
    <x:row r="38">
      <x:c r="A38" s="23" t="str">
        <x:v>MAN-2025-00037</x:v>
      </x:c>
      <x:c r="B38" s="24" t="n">
        <x:v>45937</x:v>
      </x:c>
      <x:c r="C38" s="25" t="str">
        <x:v>Mansoura</x:v>
      </x:c>
      <x:c r="D38" s="25" t="str">
        <x:v>Aga</x:v>
      </x:c>
      <x:c r="E38" s="25" t="str">
        <x:v>Youssef Fathy</x:v>
      </x:c>
      <x:c r="F38" s="25" t="str">
        <x:v>Mahmoud Samir</x:v>
      </x:c>
      <x:c r="G38" s="25" t="str">
        <x:v>Small Business</x:v>
      </x:c>
      <x:c r="H38" s="25" t="str">
        <x:v>Retail Store</x:v>
      </x:c>
      <x:c r="I38" s="25" t="str">
        <x:v>Electronics</x:v>
      </x:c>
      <x:c r="J38" s="25" t="str">
        <x:v>Smartphone</x:v>
      </x:c>
      <x:c r="K38" s="25" t="n">
        <x:v>3</x:v>
      </x:c>
      <x:c r="L38" s="26" t="n">
        <x:v>12990</x:v>
      </x:c>
      <x:c r="M38" s="27" t="n">
        <x:v>0.05</x:v>
      </x:c>
      <x:c r="N38" s="26" t="n">
        <x:f>K38*L38</x:f>
        <x:v>38970</x:v>
      </x:c>
      <x:c r="O38" s="26" t="n">
        <x:f>N38*(1-M38)</x:f>
        <x:v>37021.5</x:v>
      </x:c>
      <x:c r="P38" s="26" t="n">
        <x:v>11207</x:v>
      </x:c>
      <x:c r="Q38" s="26" t="n">
        <x:f>K38*P38</x:f>
        <x:v>33621</x:v>
      </x:c>
      <x:c r="R38" s="26" t="n">
        <x:f>O38-Q38</x:f>
        <x:v>3400.5</x:v>
      </x:c>
      <x:c r="S38" s="28" t="n">
        <x:f>IF(O38=0,0,R38/O38)</x:f>
        <x:v>0.09185203192739354</x:v>
      </x:c>
      <x:c r="T38" s="25" t="str">
        <x:v>Bank Transfer</x:v>
      </x:c>
      <x:c r="U38" s="25" t="str">
        <x:v>Completed</x:v>
      </x:c>
      <x:c r="V38" s="29" t="n">
        <x:v>5</x:v>
      </x:c>
    </x:row>
    <x:row r="39">
      <x:c r="A39" s="23" t="str">
        <x:v>MAN-2025-00038</x:v>
      </x:c>
      <x:c r="B39" s="24" t="n">
        <x:v>45844</x:v>
      </x:c>
      <x:c r="C39" s="25" t="str">
        <x:v>Mansoura</x:v>
      </x:c>
      <x:c r="D39" s="25" t="str">
        <x:v>Aga</x:v>
      </x:c>
      <x:c r="E39" s="25" t="str">
        <x:v>Aya Farouk</x:v>
      </x:c>
      <x:c r="F39" s="25" t="str">
        <x:v>Mostafa Adel</x:v>
      </x:c>
      <x:c r="G39" s="25" t="str">
        <x:v>Consumer</x:v>
      </x:c>
      <x:c r="H39" s="25" t="str">
        <x:v>Mobile App</x:v>
      </x:c>
      <x:c r="I39" s="25" t="str">
        <x:v>Furniture</x:v>
      </x:c>
      <x:c r="J39" s="25" t="str">
        <x:v>Sofa</x:v>
      </x:c>
      <x:c r="K39" s="25" t="n">
        <x:v>4</x:v>
      </x:c>
      <x:c r="L39" s="26" t="n">
        <x:v>12878</x:v>
      </x:c>
      <x:c r="M39" s="27" t="n">
        <x:v>0.1</x:v>
      </x:c>
      <x:c r="N39" s="26" t="n">
        <x:f>K39*L39</x:f>
        <x:v>51512</x:v>
      </x:c>
      <x:c r="O39" s="26" t="n">
        <x:f>N39*(1-M39)</x:f>
        <x:v>46360.8</x:v>
      </x:c>
      <x:c r="P39" s="26" t="n">
        <x:v>10800</x:v>
      </x:c>
      <x:c r="Q39" s="26" t="n">
        <x:f>K39*P39</x:f>
        <x:v>43200</x:v>
      </x:c>
      <x:c r="R39" s="26" t="n">
        <x:f>O39-Q39</x:f>
        <x:v>3160.800000000003</x:v>
      </x:c>
      <x:c r="S39" s="28" t="n">
        <x:f>IF(O39=0,0,R39/O39)</x:f>
        <x:v>0.06817828855412338</x:v>
      </x:c>
      <x:c r="T39" s="25" t="str">
        <x:v>Cash</x:v>
      </x:c>
      <x:c r="U39" s="25" t="str">
        <x:v>Returned</x:v>
      </x:c>
      <x:c r="V39" s="29" t="n">
        <x:v>4</x:v>
      </x:c>
    </x:row>
    <x:row r="40">
      <x:c r="A40" s="23" t="str">
        <x:v>MAN-2025-00039</x:v>
      </x:c>
      <x:c r="B40" s="24" t="n">
        <x:v>45976</x:v>
      </x:c>
      <x:c r="C40" s="25" t="str">
        <x:v>Mansoura</x:v>
      </x:c>
      <x:c r="D40" s="25" t="str">
        <x:v>Sherbin</x:v>
      </x:c>
      <x:c r="E40" s="25" t="str">
        <x:v>Aya Farouk</x:v>
      </x:c>
      <x:c r="F40" s="25" t="str">
        <x:v>Mariam Ibrahim</x:v>
      </x:c>
      <x:c r="G40" s="25" t="str">
        <x:v>Corporate</x:v>
      </x:c>
      <x:c r="H40" s="25" t="str">
        <x:v>Phone Order</x:v>
      </x:c>
      <x:c r="I40" s="25" t="str">
        <x:v>Furniture</x:v>
      </x:c>
      <x:c r="J40" s="25" t="str">
        <x:v>Desk</x:v>
      </x:c>
      <x:c r="K40" s="25" t="n">
        <x:v>5</x:v>
      </x:c>
      <x:c r="L40" s="26" t="n">
        <x:v>4945</x:v>
      </x:c>
      <x:c r="M40" s="27" t="n">
        <x:v>0.1</x:v>
      </x:c>
      <x:c r="N40" s="26" t="n">
        <x:f>K40*L40</x:f>
        <x:v>24725</x:v>
      </x:c>
      <x:c r="O40" s="26" t="n">
        <x:f>N40*(1-M40)</x:f>
        <x:v>22252.5</x:v>
      </x:c>
      <x:c r="P40" s="26" t="n">
        <x:v>3786</x:v>
      </x:c>
      <x:c r="Q40" s="26" t="n">
        <x:f>K40*P40</x:f>
        <x:v>18930</x:v>
      </x:c>
      <x:c r="R40" s="26" t="n">
        <x:f>O40-Q40</x:f>
        <x:v>3322.5</x:v>
      </x:c>
      <x:c r="S40" s="28" t="n">
        <x:f>IF(O40=0,0,R40/O40)</x:f>
        <x:v>0.14930906639703403</x:v>
      </x:c>
      <x:c r="T40" s="25" t="str">
        <x:v>Cash</x:v>
      </x:c>
      <x:c r="U40" s="25" t="str">
        <x:v>Completed</x:v>
      </x:c>
      <x:c r="V40" s="29" t="n">
        <x:v>4</x:v>
      </x:c>
    </x:row>
    <x:row r="41">
      <x:c r="A41" s="23" t="str">
        <x:v>MAN-2025-00040</x:v>
      </x:c>
      <x:c r="B41" s="24" t="n">
        <x:v>45764</x:v>
      </x:c>
      <x:c r="C41" s="25" t="str">
        <x:v>Mansoura</x:v>
      </x:c>
      <x:c r="D41" s="25" t="str">
        <x:v>Sherbin</x:v>
      </x:c>
      <x:c r="E41" s="25" t="str">
        <x:v>Salma Mansour</x:v>
      </x:c>
      <x:c r="F41" s="25" t="str">
        <x:v>Amr Sayed</x:v>
      </x:c>
      <x:c r="G41" s="25" t="str">
        <x:v>Consumer</x:v>
      </x:c>
      <x:c r="H41" s="25" t="str">
        <x:v>Phone Order</x:v>
      </x:c>
      <x:c r="I41" s="25" t="str">
        <x:v>Office Supplies</x:v>
      </x:c>
      <x:c r="J41" s="25" t="str">
        <x:v>Ink Cartridge</x:v>
      </x:c>
      <x:c r="K41" s="25" t="n">
        <x:v>6</x:v>
      </x:c>
      <x:c r="L41" s="26" t="n">
        <x:v>857</x:v>
      </x:c>
      <x:c r="M41" s="27" t="n">
        <x:v>0.1</x:v>
      </x:c>
      <x:c r="N41" s="26" t="n">
        <x:f>K41*L41</x:f>
        <x:v>5142</x:v>
      </x:c>
      <x:c r="O41" s="26" t="n">
        <x:f>N41*(1-M41)</x:f>
        <x:v>4627.8</x:v>
      </x:c>
      <x:c r="P41" s="26" t="n">
        <x:v>553</x:v>
      </x:c>
      <x:c r="Q41" s="26" t="n">
        <x:f>K41*P41</x:f>
        <x:v>3318</x:v>
      </x:c>
      <x:c r="R41" s="26" t="n">
        <x:f>O41-Q41</x:f>
        <x:v>1309.8000000000002</x:v>
      </x:c>
      <x:c r="S41" s="28" t="n">
        <x:f>IF(O41=0,0,R41/O41)</x:f>
        <x:v>0.28302865292363544</x:v>
      </x:c>
      <x:c r="T41" s="25" t="str">
        <x:v>Bank Transfer</x:v>
      </x:c>
      <x:c r="U41" s="25" t="str">
        <x:v>Completed</x:v>
      </x:c>
      <x:c r="V41" s="29" t="n">
        <x:v>4</x:v>
      </x:c>
    </x:row>
    <x:row r="42">
      <x:c r="A42" s="23" t="str">
        <x:v>MAN-2025-00041</x:v>
      </x:c>
      <x:c r="B42" s="24" t="n">
        <x:v>45771</x:v>
      </x:c>
      <x:c r="C42" s="25" t="str">
        <x:v>Mansoura</x:v>
      </x:c>
      <x:c r="D42" s="25" t="str">
        <x:v>Mit Ghamr</x:v>
      </x:c>
      <x:c r="E42" s="25" t="str">
        <x:v>Ali Sayed</x:v>
      </x:c>
      <x:c r="F42" s="25" t="str">
        <x:v>Mohamed Mansour</x:v>
      </x:c>
      <x:c r="G42" s="25" t="str">
        <x:v>Corporate</x:v>
      </x:c>
      <x:c r="H42" s="25" t="str">
        <x:v>Phone Order</x:v>
      </x:c>
      <x:c r="I42" s="25" t="str">
        <x:v>Home Appliances</x:v>
      </x:c>
      <x:c r="J42" s="25" t="str">
        <x:v>Microwave</x:v>
      </x:c>
      <x:c r="K42" s="25" t="n">
        <x:v>2</x:v>
      </x:c>
      <x:c r="L42" s="26" t="n">
        <x:v>5776</x:v>
      </x:c>
      <x:c r="M42" s="27" t="n">
        <x:v>0</x:v>
      </x:c>
      <x:c r="N42" s="26" t="n">
        <x:f>K42*L42</x:f>
        <x:v>11552</x:v>
      </x:c>
      <x:c r="O42" s="26" t="n">
        <x:f>N42*(1-M42)</x:f>
        <x:v>11552</x:v>
      </x:c>
      <x:c r="P42" s="26" t="n">
        <x:v>4451</x:v>
      </x:c>
      <x:c r="Q42" s="26" t="n">
        <x:f>K42*P42</x:f>
        <x:v>8902</x:v>
      </x:c>
      <x:c r="R42" s="26" t="n">
        <x:f>O42-Q42</x:f>
        <x:v>2650</x:v>
      </x:c>
      <x:c r="S42" s="28" t="n">
        <x:f>IF(O42=0,0,R42/O42)</x:f>
        <x:v>0.22939750692520774</x:v>
      </x:c>
      <x:c r="T42" s="25" t="str">
        <x:v>Cash</x:v>
      </x:c>
      <x:c r="U42" s="25" t="str">
        <x:v>Completed</x:v>
      </x:c>
      <x:c r="V42" s="29" t="n">
        <x:v>4</x:v>
      </x:c>
    </x:row>
    <x:row r="43">
      <x:c r="A43" s="23" t="str">
        <x:v>MAN-2025-00042</x:v>
      </x:c>
      <x:c r="B43" s="24" t="n">
        <x:v>45964</x:v>
      </x:c>
      <x:c r="C43" s="25" t="str">
        <x:v>Mansoura</x:v>
      </x:c>
      <x:c r="D43" s="25" t="str">
        <x:v>Sherbin</x:v>
      </x:c>
      <x:c r="E43" s="25" t="str">
        <x:v>Salma Mansour</x:v>
      </x:c>
      <x:c r="F43" s="25" t="str">
        <x:v>Mostafa Sayed</x:v>
      </x:c>
      <x:c r="G43" s="25" t="str">
        <x:v>Small Business</x:v>
      </x:c>
      <x:c r="H43" s="25" t="str">
        <x:v>Website</x:v>
      </x:c>
      <x:c r="I43" s="25" t="str">
        <x:v>Office Supplies</x:v>
      </x:c>
      <x:c r="J43" s="25" t="str">
        <x:v>Paper Box</x:v>
      </x:c>
      <x:c r="K43" s="25" t="n">
        <x:v>5</x:v>
      </x:c>
      <x:c r="L43" s="26" t="n">
        <x:v>378</x:v>
      </x:c>
      <x:c r="M43" s="27" t="n">
        <x:v>0.05</x:v>
      </x:c>
      <x:c r="N43" s="26" t="n">
        <x:f>K43*L43</x:f>
        <x:v>1890</x:v>
      </x:c>
      <x:c r="O43" s="26" t="n">
        <x:f>N43*(1-M43)</x:f>
        <x:v>1795.5</x:v>
      </x:c>
      <x:c r="P43" s="26" t="n">
        <x:v>263</x:v>
      </x:c>
      <x:c r="Q43" s="26" t="n">
        <x:f>K43*P43</x:f>
        <x:v>1315</x:v>
      </x:c>
      <x:c r="R43" s="26" t="n">
        <x:f>O43-Q43</x:f>
        <x:v>480.5</x:v>
      </x:c>
      <x:c r="S43" s="28" t="n">
        <x:f>IF(O43=0,0,R43/O43)</x:f>
        <x:v>0.2676134781397939</x:v>
      </x:c>
      <x:c r="T43" s="25" t="str">
        <x:v>Credit Card</x:v>
      </x:c>
      <x:c r="U43" s="25" t="str">
        <x:v>Completed</x:v>
      </x:c>
      <x:c r="V43" s="29" t="n">
        <x:v>5</x:v>
      </x:c>
    </x:row>
    <x:row r="44">
      <x:c r="A44" s="23" t="str">
        <x:v>MAN-2025-00043</x:v>
      </x:c>
      <x:c r="B44" s="24" t="n">
        <x:v>45735</x:v>
      </x:c>
      <x:c r="C44" s="25" t="str">
        <x:v>Mansoura</x:v>
      </x:c>
      <x:c r="D44" s="25" t="str">
        <x:v>Sherbin</x:v>
      </x:c>
      <x:c r="E44" s="25" t="str">
        <x:v>Aya Farouk</x:v>
      </x:c>
      <x:c r="F44" s="25" t="str">
        <x:v>Amr Adel</x:v>
      </x:c>
      <x:c r="G44" s="25" t="str">
        <x:v>Corporate</x:v>
      </x:c>
      <x:c r="H44" s="25" t="str">
        <x:v>Mobile App</x:v>
      </x:c>
      <x:c r="I44" s="25" t="str">
        <x:v>Furniture</x:v>
      </x:c>
      <x:c r="J44" s="25" t="str">
        <x:v>Sofa</x:v>
      </x:c>
      <x:c r="K44" s="25" t="n">
        <x:v>1</x:v>
      </x:c>
      <x:c r="L44" s="26" t="n">
        <x:v>13954</x:v>
      </x:c>
      <x:c r="M44" s="27" t="n">
        <x:v>0.1</x:v>
      </x:c>
      <x:c r="N44" s="26" t="n">
        <x:f>K44*L44</x:f>
        <x:v>13954</x:v>
      </x:c>
      <x:c r="O44" s="26" t="n">
        <x:f>N44*(1-M44)</x:f>
        <x:v>12558.6</x:v>
      </x:c>
      <x:c r="P44" s="26" t="n">
        <x:v>10558</x:v>
      </x:c>
      <x:c r="Q44" s="26" t="n">
        <x:f>K44*P44</x:f>
        <x:v>10558</x:v>
      </x:c>
      <x:c r="R44" s="26" t="n">
        <x:f>O44-Q44</x:f>
        <x:v>2000.6000000000004</x:v>
      </x:c>
      <x:c r="S44" s="28" t="n">
        <x:f>IF(O44=0,0,R44/O44)</x:f>
        <x:v>0.15930119599318399</x:v>
      </x:c>
      <x:c r="T44" s="25" t="str">
        <x:v>Credit Card</x:v>
      </x:c>
      <x:c r="U44" s="25" t="str">
        <x:v>Cancelled</x:v>
      </x:c>
      <x:c r="V44" s="29" t="n">
        <x:v>4</x:v>
      </x:c>
    </x:row>
    <x:row r="45">
      <x:c r="A45" s="23" t="str">
        <x:v>MAN-2025-00044</x:v>
      </x:c>
      <x:c r="B45" s="24" t="n">
        <x:v>45867</x:v>
      </x:c>
      <x:c r="C45" s="25" t="str">
        <x:v>Mansoura</x:v>
      </x:c>
      <x:c r="D45" s="25" t="str">
        <x:v>Aga</x:v>
      </x:c>
      <x:c r="E45" s="25" t="str">
        <x:v>Youssef Fathy</x:v>
      </x:c>
      <x:c r="F45" s="25" t="str">
        <x:v>Amr Khalil</x:v>
      </x:c>
      <x:c r="G45" s="25" t="str">
        <x:v>Small Business</x:v>
      </x:c>
      <x:c r="H45" s="25" t="str">
        <x:v>Retail Store</x:v>
      </x:c>
      <x:c r="I45" s="25" t="str">
        <x:v>Office Supplies</x:v>
      </x:c>
      <x:c r="J45" s="25" t="str">
        <x:v>Paper Box</x:v>
      </x:c>
      <x:c r="K45" s="25" t="n">
        <x:v>5</x:v>
      </x:c>
      <x:c r="L45" s="26" t="n">
        <x:v>351</x:v>
      </x:c>
      <x:c r="M45" s="27" t="n">
        <x:v>0.05</x:v>
      </x:c>
      <x:c r="N45" s="26" t="n">
        <x:f>K45*L45</x:f>
        <x:v>1755</x:v>
      </x:c>
      <x:c r="O45" s="26" t="n">
        <x:f>N45*(1-M45)</x:f>
        <x:v>1667.25</x:v>
      </x:c>
      <x:c r="P45" s="26" t="n">
        <x:v>268</x:v>
      </x:c>
      <x:c r="Q45" s="26" t="n">
        <x:f>K45*P45</x:f>
        <x:v>1340</x:v>
      </x:c>
      <x:c r="R45" s="26" t="n">
        <x:f>O45-Q45</x:f>
        <x:v>327.25</x:v>
      </x:c>
      <x:c r="S45" s="28" t="n">
        <x:f>IF(O45=0,0,R45/O45)</x:f>
        <x:v>0.19628130154445944</x:v>
      </x:c>
      <x:c r="T45" s="25" t="str">
        <x:v>Cash</x:v>
      </x:c>
      <x:c r="U45" s="25" t="str">
        <x:v>Completed</x:v>
      </x:c>
      <x:c r="V45" s="29" t="n">
        <x:v>3</x:v>
      </x:c>
    </x:row>
    <x:row r="46">
      <x:c r="A46" s="23" t="str">
        <x:v>MAN-2025-00045</x:v>
      </x:c>
      <x:c r="B46" s="24" t="n">
        <x:v>45766</x:v>
      </x:c>
      <x:c r="C46" s="25" t="str">
        <x:v>Mansoura</x:v>
      </x:c>
      <x:c r="D46" s="25" t="str">
        <x:v>Sherbin</x:v>
      </x:c>
      <x:c r="E46" s="25" t="str">
        <x:v>Salma Mansour</x:v>
      </x:c>
      <x:c r="F46" s="25" t="str">
        <x:v>Amr Mansour</x:v>
      </x:c>
      <x:c r="G46" s="25" t="str">
        <x:v>Small Business</x:v>
      </x:c>
      <x:c r="H46" s="25" t="str">
        <x:v>Retail Store</x:v>
      </x:c>
      <x:c r="I46" s="25" t="str">
        <x:v>Furniture</x:v>
      </x:c>
      <x:c r="J46" s="25" t="str">
        <x:v>Sofa</x:v>
      </x:c>
      <x:c r="K46" s="25" t="n">
        <x:v>5</x:v>
      </x:c>
      <x:c r="L46" s="26" t="n">
        <x:v>13801</x:v>
      </x:c>
      <x:c r="M46" s="27" t="n">
        <x:v>0.15</x:v>
      </x:c>
      <x:c r="N46" s="26" t="n">
        <x:f>K46*L46</x:f>
        <x:v>69005</x:v>
      </x:c>
      <x:c r="O46" s="26" t="n">
        <x:f>N46*(1-M46)</x:f>
        <x:v>58654.25</x:v>
      </x:c>
      <x:c r="P46" s="26" t="n">
        <x:v>10498</x:v>
      </x:c>
      <x:c r="Q46" s="26" t="n">
        <x:f>K46*P46</x:f>
        <x:v>52490</x:v>
      </x:c>
      <x:c r="R46" s="26" t="n">
        <x:f>O46-Q46</x:f>
        <x:v>6164.25</x:v>
      </x:c>
      <x:c r="S46" s="28" t="n">
        <x:f>IF(O46=0,0,R46/O46)</x:f>
        <x:v>0.10509468623330791</x:v>
      </x:c>
      <x:c r="T46" s="25" t="str">
        <x:v>Debit Card</x:v>
      </x:c>
      <x:c r="U46" s="25" t="str">
        <x:v>Completed</x:v>
      </x:c>
      <x:c r="V46" s="29" t="n">
        <x:v>5</x:v>
      </x:c>
    </x:row>
    <x:row r="47">
      <x:c r="A47" s="23" t="str">
        <x:v>MAN-2025-00046</x:v>
      </x:c>
      <x:c r="B47" s="24" t="n">
        <x:v>45834</x:v>
      </x:c>
      <x:c r="C47" s="25" t="str">
        <x:v>Mansoura</x:v>
      </x:c>
      <x:c r="D47" s="25" t="str">
        <x:v>Aga</x:v>
      </x:c>
      <x:c r="E47" s="25" t="str">
        <x:v>Youssef Fathy</x:v>
      </x:c>
      <x:c r="F47" s="25" t="str">
        <x:v>Ali Fathy</x:v>
      </x:c>
      <x:c r="G47" s="25" t="str">
        <x:v>Corporate</x:v>
      </x:c>
      <x:c r="H47" s="25" t="str">
        <x:v>Website</x:v>
      </x:c>
      <x:c r="I47" s="25" t="str">
        <x:v>Home Appliances</x:v>
      </x:c>
      <x:c r="J47" s="25" t="str">
        <x:v>Microwave</x:v>
      </x:c>
      <x:c r="K47" s="25" t="n">
        <x:v>2</x:v>
      </x:c>
      <x:c r="L47" s="26" t="n">
        <x:v>5264</x:v>
      </x:c>
      <x:c r="M47" s="27" t="n">
        <x:v>0.1</x:v>
      </x:c>
      <x:c r="N47" s="26" t="n">
        <x:f>K47*L47</x:f>
        <x:v>10528</x:v>
      </x:c>
      <x:c r="O47" s="26" t="n">
        <x:f>N47*(1-M47)</x:f>
        <x:v>9475.2</x:v>
      </x:c>
      <x:c r="P47" s="26" t="n">
        <x:v>4454</x:v>
      </x:c>
      <x:c r="Q47" s="26" t="n">
        <x:f>K47*P47</x:f>
        <x:v>8908</x:v>
      </x:c>
      <x:c r="R47" s="26" t="n">
        <x:f>O47-Q47</x:f>
        <x:v>567.2000000000007</x:v>
      </x:c>
      <x:c r="S47" s="28" t="n">
        <x:f>IF(O47=0,0,R47/O47)</x:f>
        <x:v>0.059861533265788656</x:v>
      </x:c>
      <x:c r="T47" s="25" t="str">
        <x:v>Digital Wallet</x:v>
      </x:c>
      <x:c r="U47" s="25" t="str">
        <x:v>Returned</x:v>
      </x:c>
      <x:c r="V47" s="29" t="n">
        <x:v>4</x:v>
      </x:c>
    </x:row>
    <x:row r="48">
      <x:c r="A48" s="23" t="str">
        <x:v>MAN-2025-00047</x:v>
      </x:c>
      <x:c r="B48" s="24" t="n">
        <x:v>45846</x:v>
      </x:c>
      <x:c r="C48" s="25" t="str">
        <x:v>Mansoura</x:v>
      </x:c>
      <x:c r="D48" s="25" t="str">
        <x:v>Aga</x:v>
      </x:c>
      <x:c r="E48" s="25" t="str">
        <x:v>Aya Farouk</x:v>
      </x:c>
      <x:c r="F48" s="25" t="str">
        <x:v>Farah Gamal</x:v>
      </x:c>
      <x:c r="G48" s="25" t="str">
        <x:v>Corporate</x:v>
      </x:c>
      <x:c r="H48" s="25" t="str">
        <x:v>Website</x:v>
      </x:c>
      <x:c r="I48" s="25" t="str">
        <x:v>Home Appliances</x:v>
      </x:c>
      <x:c r="J48" s="25" t="str">
        <x:v>Blender</x:v>
      </x:c>
      <x:c r="K48" s="25" t="n">
        <x:v>3</x:v>
      </x:c>
      <x:c r="L48" s="26" t="n">
        <x:v>1772</x:v>
      </x:c>
      <x:c r="M48" s="27" t="n">
        <x:v>0</x:v>
      </x:c>
      <x:c r="N48" s="26" t="n">
        <x:f>K48*L48</x:f>
        <x:v>5316</x:v>
      </x:c>
      <x:c r="O48" s="26" t="n">
        <x:f>N48*(1-M48)</x:f>
        <x:v>5316</x:v>
      </x:c>
      <x:c r="P48" s="26" t="n">
        <x:v>1223</x:v>
      </x:c>
      <x:c r="Q48" s="26" t="n">
        <x:f>K48*P48</x:f>
        <x:v>3669</x:v>
      </x:c>
      <x:c r="R48" s="26" t="n">
        <x:f>O48-Q48</x:f>
        <x:v>1647</x:v>
      </x:c>
      <x:c r="S48" s="28" t="n">
        <x:f>IF(O48=0,0,R48/O48)</x:f>
        <x:v>0.3098194130925508</x:v>
      </x:c>
      <x:c r="T48" s="25" t="str">
        <x:v>Digital Wallet</x:v>
      </x:c>
      <x:c r="U48" s="25" t="str">
        <x:v>Returned</x:v>
      </x:c>
      <x:c r="V48" s="29" t="n">
        <x:v>4</x:v>
      </x:c>
    </x:row>
    <x:row r="49">
      <x:c r="A49" s="23" t="str">
        <x:v>MAN-2025-00048</x:v>
      </x:c>
      <x:c r="B49" s="24" t="n">
        <x:v>45961</x:v>
      </x:c>
      <x:c r="C49" s="25" t="str">
        <x:v>Mansoura</x:v>
      </x:c>
      <x:c r="D49" s="25" t="str">
        <x:v>Mansoura City</x:v>
      </x:c>
      <x:c r="E49" s="25" t="str">
        <x:v>Youssef Fathy</x:v>
      </x:c>
      <x:c r="F49" s="25" t="str">
        <x:v>Aya Sayed</x:v>
      </x:c>
      <x:c r="G49" s="25" t="str">
        <x:v>Small Business</x:v>
      </x:c>
      <x:c r="H49" s="25" t="str">
        <x:v>Website</x:v>
      </x:c>
      <x:c r="I49" s="25" t="str">
        <x:v>Furniture</x:v>
      </x:c>
      <x:c r="J49" s="25" t="str">
        <x:v>Bookshelf</x:v>
      </x:c>
      <x:c r="K49" s="25" t="n">
        <x:v>6</x:v>
      </x:c>
      <x:c r="L49" s="26" t="n">
        <x:v>2906</x:v>
      </x:c>
      <x:c r="M49" s="27" t="n">
        <x:v>0</x:v>
      </x:c>
      <x:c r="N49" s="26" t="n">
        <x:f>K49*L49</x:f>
        <x:v>17436</x:v>
      </x:c>
      <x:c r="O49" s="26" t="n">
        <x:f>N49*(1-M49)</x:f>
        <x:v>17436</x:v>
      </x:c>
      <x:c r="P49" s="26" t="n">
        <x:v>2229</x:v>
      </x:c>
      <x:c r="Q49" s="26" t="n">
        <x:f>K49*P49</x:f>
        <x:v>13374</x:v>
      </x:c>
      <x:c r="R49" s="26" t="n">
        <x:f>O49-Q49</x:f>
        <x:v>4062</x:v>
      </x:c>
      <x:c r="S49" s="28" t="n">
        <x:f>IF(O49=0,0,R49/O49)</x:f>
        <x:v>0.23296627666896078</x:v>
      </x:c>
      <x:c r="T49" s="25" t="str">
        <x:v>Credit Card</x:v>
      </x:c>
      <x:c r="U49" s="25" t="str">
        <x:v>Completed</x:v>
      </x:c>
      <x:c r="V49" s="29" t="n">
        <x:v>5</x:v>
      </x:c>
    </x:row>
    <x:row r="50">
      <x:c r="A50" s="23" t="str">
        <x:v>MAN-2025-00049</x:v>
      </x:c>
      <x:c r="B50" s="24" t="n">
        <x:v>45928</x:v>
      </x:c>
      <x:c r="C50" s="25" t="str">
        <x:v>Mansoura</x:v>
      </x:c>
      <x:c r="D50" s="25" t="str">
        <x:v>Sherbin</x:v>
      </x:c>
      <x:c r="E50" s="25" t="str">
        <x:v>Aya Farouk</x:v>
      </x:c>
      <x:c r="F50" s="25" t="str">
        <x:v>Aya Ibrahim</x:v>
      </x:c>
      <x:c r="G50" s="25" t="str">
        <x:v>Small Business</x:v>
      </x:c>
      <x:c r="H50" s="25" t="str">
        <x:v>Retail Store</x:v>
      </x:c>
      <x:c r="I50" s="25" t="str">
        <x:v>Furniture</x:v>
      </x:c>
      <x:c r="J50" s="25" t="str">
        <x:v>Office Chair</x:v>
      </x:c>
      <x:c r="K50" s="25" t="n">
        <x:v>5</x:v>
      </x:c>
      <x:c r="L50" s="26" t="n">
        <x:v>3807</x:v>
      </x:c>
      <x:c r="M50" s="27" t="n">
        <x:v>0.15</x:v>
      </x:c>
      <x:c r="N50" s="26" t="n">
        <x:f>K50*L50</x:f>
        <x:v>19035</x:v>
      </x:c>
      <x:c r="O50" s="26" t="n">
        <x:f>N50*(1-M50)</x:f>
        <x:v>16179.75</x:v>
      </x:c>
      <x:c r="P50" s="26" t="n">
        <x:v>2793</x:v>
      </x:c>
      <x:c r="Q50" s="26" t="n">
        <x:f>K50*P50</x:f>
        <x:v>13965</x:v>
      </x:c>
      <x:c r="R50" s="26" t="n">
        <x:f>O50-Q50</x:f>
        <x:v>2214.75</x:v>
      </x:c>
      <x:c r="S50" s="28" t="n">
        <x:f>IF(O50=0,0,R50/O50)</x:f>
        <x:v>0.136884068048023</x:v>
      </x:c>
      <x:c r="T50" s="25" t="str">
        <x:v>Digital Wallet</x:v>
      </x:c>
      <x:c r="U50" s="25" t="str">
        <x:v>Returned</x:v>
      </x:c>
      <x:c r="V50" s="29" t="n">
        <x:v>4</x:v>
      </x:c>
    </x:row>
    <x:row r="51">
      <x:c r="A51" s="23" t="str">
        <x:v>MAN-2025-00050</x:v>
      </x:c>
      <x:c r="B51" s="24" t="n">
        <x:v>45791</x:v>
      </x:c>
      <x:c r="C51" s="25" t="str">
        <x:v>Mansoura</x:v>
      </x:c>
      <x:c r="D51" s="25" t="str">
        <x:v>Sherbin</x:v>
      </x:c>
      <x:c r="E51" s="25" t="str">
        <x:v>Aya Farouk</x:v>
      </x:c>
      <x:c r="F51" s="25" t="str">
        <x:v>Salma Fathy</x:v>
      </x:c>
      <x:c r="G51" s="25" t="str">
        <x:v>Corporate</x:v>
      </x:c>
      <x:c r="H51" s="25" t="str">
        <x:v>Mobile App</x:v>
      </x:c>
      <x:c r="I51" s="25" t="str">
        <x:v>Office Supplies</x:v>
      </x:c>
      <x:c r="J51" s="25" t="str">
        <x:v>Ink Cartridge</x:v>
      </x:c>
      <x:c r="K51" s="25" t="n">
        <x:v>5</x:v>
      </x:c>
      <x:c r="L51" s="26" t="n">
        <x:v>839</x:v>
      </x:c>
      <x:c r="M51" s="27" t="n">
        <x:v>0</x:v>
      </x:c>
      <x:c r="N51" s="26" t="n">
        <x:f>K51*L51</x:f>
        <x:v>4195</x:v>
      </x:c>
      <x:c r="O51" s="26" t="n">
        <x:f>N51*(1-M51)</x:f>
        <x:v>4195</x:v>
      </x:c>
      <x:c r="P51" s="26" t="n">
        <x:v>565</x:v>
      </x:c>
      <x:c r="Q51" s="26" t="n">
        <x:f>K51*P51</x:f>
        <x:v>2825</x:v>
      </x:c>
      <x:c r="R51" s="26" t="n">
        <x:f>O51-Q51</x:f>
        <x:v>1370</x:v>
      </x:c>
      <x:c r="S51" s="28" t="n">
        <x:f>IF(O51=0,0,R51/O51)</x:f>
        <x:v>0.3265792610250298</x:v>
      </x:c>
      <x:c r="T51" s="25" t="str">
        <x:v>Bank Transfer</x:v>
      </x:c>
      <x:c r="U51" s="25" t="str">
        <x:v>Completed</x:v>
      </x:c>
      <x:c r="V51" s="29" t="n">
        <x:v>3</x:v>
      </x:c>
    </x:row>
    <x:row r="52">
      <x:c r="A52" s="23" t="str">
        <x:v>MAN-2025-00051</x:v>
      </x:c>
      <x:c r="B52" s="24" t="n">
        <x:v>45938</x:v>
      </x:c>
      <x:c r="C52" s="25" t="str">
        <x:v>Mansoura</x:v>
      </x:c>
      <x:c r="D52" s="25" t="str">
        <x:v>Sherbin</x:v>
      </x:c>
      <x:c r="E52" s="25" t="str">
        <x:v>Ali Sayed</x:v>
      </x:c>
      <x:c r="F52" s="25" t="str">
        <x:v>Omar Khalil</x:v>
      </x:c>
      <x:c r="G52" s="25" t="str">
        <x:v>Consumer</x:v>
      </x:c>
      <x:c r="H52" s="25" t="str">
        <x:v>Website</x:v>
      </x:c>
      <x:c r="I52" s="25" t="str">
        <x:v>Electronics</x:v>
      </x:c>
      <x:c r="J52" s="25" t="str">
        <x:v>Headphones</x:v>
      </x:c>
      <x:c r="K52" s="25" t="n">
        <x:v>5</x:v>
      </x:c>
      <x:c r="L52" s="26" t="n">
        <x:v>1775</x:v>
      </x:c>
      <x:c r="M52" s="27" t="n">
        <x:v>0</x:v>
      </x:c>
      <x:c r="N52" s="26" t="n">
        <x:f>K52*L52</x:f>
        <x:v>8875</x:v>
      </x:c>
      <x:c r="O52" s="26" t="n">
        <x:f>N52*(1-M52)</x:f>
        <x:v>8875</x:v>
      </x:c>
      <x:c r="P52" s="26" t="n">
        <x:v>1091</x:v>
      </x:c>
      <x:c r="Q52" s="26" t="n">
        <x:f>K52*P52</x:f>
        <x:v>5455</x:v>
      </x:c>
      <x:c r="R52" s="26" t="n">
        <x:f>O52-Q52</x:f>
        <x:v>3420</x:v>
      </x:c>
      <x:c r="S52" s="28" t="n">
        <x:f>IF(O52=0,0,R52/O52)</x:f>
        <x:v>0.38535211267605635</x:v>
      </x:c>
      <x:c r="T52" s="25" t="str">
        <x:v>Debit Card</x:v>
      </x:c>
      <x:c r="U52" s="25" t="str">
        <x:v>Returned</x:v>
      </x:c>
      <x:c r="V52" s="29" t="n">
        <x:v>4</x:v>
      </x:c>
    </x:row>
    <x:row r="53">
      <x:c r="A53" s="23" t="str">
        <x:v>MAN-2025-00052</x:v>
      </x:c>
      <x:c r="B53" s="24" t="n">
        <x:v>45899</x:v>
      </x:c>
      <x:c r="C53" s="25" t="str">
        <x:v>Mansoura</x:v>
      </x:c>
      <x:c r="D53" s="25" t="str">
        <x:v>Sherbin</x:v>
      </x:c>
      <x:c r="E53" s="25" t="str">
        <x:v>Aya Farouk</x:v>
      </x:c>
      <x:c r="F53" s="25" t="str">
        <x:v>Nour Sayed</x:v>
      </x:c>
      <x:c r="G53" s="25" t="str">
        <x:v>Consumer</x:v>
      </x:c>
      <x:c r="H53" s="25" t="str">
        <x:v>Website</x:v>
      </x:c>
      <x:c r="I53" s="25" t="str">
        <x:v>Home Appliances</x:v>
      </x:c>
      <x:c r="J53" s="25" t="str">
        <x:v>Microwave</x:v>
      </x:c>
      <x:c r="K53" s="25" t="n">
        <x:v>1</x:v>
      </x:c>
      <x:c r="L53" s="26" t="n">
        <x:v>5719</x:v>
      </x:c>
      <x:c r="M53" s="27" t="n">
        <x:v>0</x:v>
      </x:c>
      <x:c r="N53" s="26" t="n">
        <x:f>K53*L53</x:f>
        <x:v>5719</x:v>
      </x:c>
      <x:c r="O53" s="26" t="n">
        <x:f>N53*(1-M53)</x:f>
        <x:v>5719</x:v>
      </x:c>
      <x:c r="P53" s="26" t="n">
        <x:v>4321</x:v>
      </x:c>
      <x:c r="Q53" s="26" t="n">
        <x:f>K53*P53</x:f>
        <x:v>4321</x:v>
      </x:c>
      <x:c r="R53" s="26" t="n">
        <x:f>O53-Q53</x:f>
        <x:v>1398</x:v>
      </x:c>
      <x:c r="S53" s="28" t="n">
        <x:f>IF(O53=0,0,R53/O53)</x:f>
        <x:v>0.2444483301276447</x:v>
      </x:c>
      <x:c r="T53" s="25" t="str">
        <x:v>Cash</x:v>
      </x:c>
      <x:c r="U53" s="25" t="str">
        <x:v>Completed</x:v>
      </x:c>
      <x:c r="V53" s="29" t="n">
        <x:v>5</x:v>
      </x:c>
    </x:row>
    <x:row r="54">
      <x:c r="A54" s="23" t="str">
        <x:v>MAN-2025-00053</x:v>
      </x:c>
      <x:c r="B54" s="24" t="n">
        <x:v>45895</x:v>
      </x:c>
      <x:c r="C54" s="25" t="str">
        <x:v>Mansoura</x:v>
      </x:c>
      <x:c r="D54" s="25" t="str">
        <x:v>Talkha</x:v>
      </x:c>
      <x:c r="E54" s="25" t="str">
        <x:v>Ali Sayed</x:v>
      </x:c>
      <x:c r="F54" s="25" t="str">
        <x:v>Mostafa Gamal</x:v>
      </x:c>
      <x:c r="G54" s="25" t="str">
        <x:v>Consumer</x:v>
      </x:c>
      <x:c r="H54" s="25" t="str">
        <x:v>Mobile App</x:v>
      </x:c>
      <x:c r="I54" s="25" t="str">
        <x:v>Home Appliances</x:v>
      </x:c>
      <x:c r="J54" s="25" t="str">
        <x:v>Microwave</x:v>
      </x:c>
      <x:c r="K54" s="25" t="n">
        <x:v>4</x:v>
      </x:c>
      <x:c r="L54" s="26" t="n">
        <x:v>5453</x:v>
      </x:c>
      <x:c r="M54" s="27" t="n">
        <x:v>0.05</x:v>
      </x:c>
      <x:c r="N54" s="26" t="n">
        <x:f>K54*L54</x:f>
        <x:v>21812</x:v>
      </x:c>
      <x:c r="O54" s="26" t="n">
        <x:f>N54*(1-M54)</x:f>
        <x:v>20721.399999999998</x:v>
      </x:c>
      <x:c r="P54" s="26" t="n">
        <x:v>4435</x:v>
      </x:c>
      <x:c r="Q54" s="26" t="n">
        <x:f>K54*P54</x:f>
        <x:v>17740</x:v>
      </x:c>
      <x:c r="R54" s="26" t="n">
        <x:f>O54-Q54</x:f>
        <x:v>2981.399999999998</x:v>
      </x:c>
      <x:c r="S54" s="28" t="n">
        <x:f>IF(O54=0,0,R54/O54)</x:f>
        <x:v>0.1438802397521402</x:v>
      </x:c>
      <x:c r="T54" s="25" t="str">
        <x:v>Cash</x:v>
      </x:c>
      <x:c r="U54" s="25" t="str">
        <x:v>Completed</x:v>
      </x:c>
      <x:c r="V54" s="29" t="n">
        <x:v>4</x:v>
      </x:c>
    </x:row>
    <x:row r="55">
      <x:c r="A55" s="23" t="str">
        <x:v>MAN-2025-00054</x:v>
      </x:c>
      <x:c r="B55" s="24" t="n">
        <x:v>45678</x:v>
      </x:c>
      <x:c r="C55" s="25" t="str">
        <x:v>Mansoura</x:v>
      </x:c>
      <x:c r="D55" s="25" t="str">
        <x:v>Sherbin</x:v>
      </x:c>
      <x:c r="E55" s="25" t="str">
        <x:v>Ali Sayed</x:v>
      </x:c>
      <x:c r="F55" s="25" t="str">
        <x:v>Mahmoud Khalil</x:v>
      </x:c>
      <x:c r="G55" s="25" t="str">
        <x:v>Small Business</x:v>
      </x:c>
      <x:c r="H55" s="25" t="str">
        <x:v>Phone Order</x:v>
      </x:c>
      <x:c r="I55" s="25" t="str">
        <x:v>Home Appliances</x:v>
      </x:c>
      <x:c r="J55" s="25" t="str">
        <x:v>Microwave</x:v>
      </x:c>
      <x:c r="K55" s="25" t="n">
        <x:v>2</x:v>
      </x:c>
      <x:c r="L55" s="26" t="n">
        <x:v>5219</x:v>
      </x:c>
      <x:c r="M55" s="27" t="n">
        <x:v>0.1</x:v>
      </x:c>
      <x:c r="N55" s="26" t="n">
        <x:f>K55*L55</x:f>
        <x:v>10438</x:v>
      </x:c>
      <x:c r="O55" s="26" t="n">
        <x:f>N55*(1-M55)</x:f>
        <x:v>9394.2</x:v>
      </x:c>
      <x:c r="P55" s="26" t="n">
        <x:v>4355</x:v>
      </x:c>
      <x:c r="Q55" s="26" t="n">
        <x:f>K55*P55</x:f>
        <x:v>8710</x:v>
      </x:c>
      <x:c r="R55" s="26" t="n">
        <x:f>O55-Q55</x:f>
        <x:v>684.2000000000007</x:v>
      </x:c>
      <x:c r="S55" s="28" t="n">
        <x:f>IF(O55=0,0,R55/O55)</x:f>
        <x:v>0.07283217304294146</x:v>
      </x:c>
      <x:c r="T55" s="25" t="str">
        <x:v>Digital Wallet</x:v>
      </x:c>
      <x:c r="U55" s="25" t="str">
        <x:v>Returned</x:v>
      </x:c>
      <x:c r="V55" s="29" t="n">
        <x:v>4</x:v>
      </x:c>
    </x:row>
    <x:row r="56">
      <x:c r="A56" s="23" t="str">
        <x:v>MAN-2025-00055</x:v>
      </x:c>
      <x:c r="B56" s="24" t="n">
        <x:v>45911</x:v>
      </x:c>
      <x:c r="C56" s="25" t="str">
        <x:v>Mansoura</x:v>
      </x:c>
      <x:c r="D56" s="25" t="str">
        <x:v>Mansoura City</x:v>
      </x:c>
      <x:c r="E56" s="25" t="str">
        <x:v>Youssef Fathy</x:v>
      </x:c>
      <x:c r="F56" s="25" t="str">
        <x:v>Ahmed Mansour</x:v>
      </x:c>
      <x:c r="G56" s="25" t="str">
        <x:v>Small Business</x:v>
      </x:c>
      <x:c r="H56" s="25" t="str">
        <x:v>Retail Store</x:v>
      </x:c>
      <x:c r="I56" s="25" t="str">
        <x:v>Office Supplies</x:v>
      </x:c>
      <x:c r="J56" s="25" t="str">
        <x:v>Calculator</x:v>
      </x:c>
      <x:c r="K56" s="25" t="n">
        <x:v>3</x:v>
      </x:c>
      <x:c r="L56" s="26" t="n">
        <x:v>432</x:v>
      </x:c>
      <x:c r="M56" s="27" t="n">
        <x:v>0.15</x:v>
      </x:c>
      <x:c r="N56" s="26" t="n">
        <x:f>K56*L56</x:f>
        <x:v>1296</x:v>
      </x:c>
      <x:c r="O56" s="26" t="n">
        <x:f>N56*(1-M56)</x:f>
        <x:v>1101.6</x:v>
      </x:c>
      <x:c r="P56" s="26" t="n">
        <x:v>277</x:v>
      </x:c>
      <x:c r="Q56" s="26" t="n">
        <x:f>K56*P56</x:f>
        <x:v>831</x:v>
      </x:c>
      <x:c r="R56" s="26" t="n">
        <x:f>O56-Q56</x:f>
        <x:v>270.5999999999999</x:v>
      </x:c>
      <x:c r="S56" s="28" t="n">
        <x:f>IF(O56=0,0,R56/O56)</x:f>
        <x:v>0.2456427015250544</x:v>
      </x:c>
      <x:c r="T56" s="25" t="str">
        <x:v>Bank Transfer</x:v>
      </x:c>
      <x:c r="U56" s="25" t="str">
        <x:v>Completed</x:v>
      </x:c>
      <x:c r="V56" s="29" t="n">
        <x:v>4</x:v>
      </x:c>
    </x:row>
    <x:row r="57">
      <x:c r="A57" s="23" t="str">
        <x:v>MAN-2025-00056</x:v>
      </x:c>
      <x:c r="B57" s="24" t="n">
        <x:v>45687</x:v>
      </x:c>
      <x:c r="C57" s="25" t="str">
        <x:v>Mansoura</x:v>
      </x:c>
      <x:c r="D57" s="25" t="str">
        <x:v>Sherbin</x:v>
      </x:c>
      <x:c r="E57" s="25" t="str">
        <x:v>Salma Mansour</x:v>
      </x:c>
      <x:c r="F57" s="25" t="str">
        <x:v>Farah Ibrahim</x:v>
      </x:c>
      <x:c r="G57" s="25" t="str">
        <x:v>Consumer</x:v>
      </x:c>
      <x:c r="H57" s="25" t="str">
        <x:v>Retail Store</x:v>
      </x:c>
      <x:c r="I57" s="25" t="str">
        <x:v>Furniture</x:v>
      </x:c>
      <x:c r="J57" s="25" t="str">
        <x:v>Sofa</x:v>
      </x:c>
      <x:c r="K57" s="25" t="n">
        <x:v>5</x:v>
      </x:c>
      <x:c r="L57" s="26" t="n">
        <x:v>14003</x:v>
      </x:c>
      <x:c r="M57" s="27" t="n">
        <x:v>0</x:v>
      </x:c>
      <x:c r="N57" s="26" t="n">
        <x:f>K57*L57</x:f>
        <x:v>70015</x:v>
      </x:c>
      <x:c r="O57" s="26" t="n">
        <x:f>N57*(1-M57)</x:f>
        <x:v>70015</x:v>
      </x:c>
      <x:c r="P57" s="26" t="n">
        <x:v>10588</x:v>
      </x:c>
      <x:c r="Q57" s="26" t="n">
        <x:f>K57*P57</x:f>
        <x:v>52940</x:v>
      </x:c>
      <x:c r="R57" s="26" t="n">
        <x:f>O57-Q57</x:f>
        <x:v>17075</x:v>
      </x:c>
      <x:c r="S57" s="28" t="n">
        <x:f>IF(O57=0,0,R57/O57)</x:f>
        <x:v>0.24387631221881026</x:v>
      </x:c>
      <x:c r="T57" s="25" t="str">
        <x:v>Credit Card</x:v>
      </x:c>
      <x:c r="U57" s="25" t="str">
        <x:v>Completed</x:v>
      </x:c>
      <x:c r="V57" s="29" t="n">
        <x:v>5</x:v>
      </x:c>
    </x:row>
    <x:row r="58">
      <x:c r="A58" s="23" t="str">
        <x:v>MAN-2025-00057</x:v>
      </x:c>
      <x:c r="B58" s="24" t="n">
        <x:v>45935</x:v>
      </x:c>
      <x:c r="C58" s="25" t="str">
        <x:v>Mansoura</x:v>
      </x:c>
      <x:c r="D58" s="25" t="str">
        <x:v>Aga</x:v>
      </x:c>
      <x:c r="E58" s="25" t="str">
        <x:v>Ali Sayed</x:v>
      </x:c>
      <x:c r="F58" s="25" t="str">
        <x:v>Hana Adel</x:v>
      </x:c>
      <x:c r="G58" s="25" t="str">
        <x:v>Consumer</x:v>
      </x:c>
      <x:c r="H58" s="25" t="str">
        <x:v>Mobile App</x:v>
      </x:c>
      <x:c r="I58" s="25" t="str">
        <x:v>Home Appliances</x:v>
      </x:c>
      <x:c r="J58" s="25" t="str">
        <x:v>Microwave</x:v>
      </x:c>
      <x:c r="K58" s="25" t="n">
        <x:v>1</x:v>
      </x:c>
      <x:c r="L58" s="26" t="n">
        <x:v>5234</x:v>
      </x:c>
      <x:c r="M58" s="27" t="n">
        <x:v>0</x:v>
      </x:c>
      <x:c r="N58" s="26" t="n">
        <x:f>K58*L58</x:f>
        <x:v>5234</x:v>
      </x:c>
      <x:c r="O58" s="26" t="n">
        <x:f>N58*(1-M58)</x:f>
        <x:v>5234</x:v>
      </x:c>
      <x:c r="P58" s="26" t="n">
        <x:v>4348</x:v>
      </x:c>
      <x:c r="Q58" s="26" t="n">
        <x:f>K58*P58</x:f>
        <x:v>4348</x:v>
      </x:c>
      <x:c r="R58" s="26" t="n">
        <x:f>O58-Q58</x:f>
        <x:v>886</x:v>
      </x:c>
      <x:c r="S58" s="28" t="n">
        <x:f>IF(O58=0,0,R58/O58)</x:f>
        <x:v>0.16927779900649598</x:v>
      </x:c>
      <x:c r="T58" s="25" t="str">
        <x:v>Debit Card</x:v>
      </x:c>
      <x:c r="U58" s="25" t="str">
        <x:v>Completed</x:v>
      </x:c>
      <x:c r="V58" s="29" t="n">
        <x:v>3</x:v>
      </x:c>
    </x:row>
    <x:row r="59">
      <x:c r="A59" s="23" t="str">
        <x:v>MAN-2025-00058</x:v>
      </x:c>
      <x:c r="B59" s="24" t="n">
        <x:v>45981</x:v>
      </x:c>
      <x:c r="C59" s="25" t="str">
        <x:v>Mansoura</x:v>
      </x:c>
      <x:c r="D59" s="25" t="str">
        <x:v>Sherbin</x:v>
      </x:c>
      <x:c r="E59" s="25" t="str">
        <x:v>Aya Farouk</x:v>
      </x:c>
      <x:c r="F59" s="25" t="str">
        <x:v>Ali Mansour</x:v>
      </x:c>
      <x:c r="G59" s="25" t="str">
        <x:v>Consumer</x:v>
      </x:c>
      <x:c r="H59" s="25" t="str">
        <x:v>Mobile App</x:v>
      </x:c>
      <x:c r="I59" s="25" t="str">
        <x:v>Electronics</x:v>
      </x:c>
      <x:c r="J59" s="25" t="str">
        <x:v>Smartphone</x:v>
      </x:c>
      <x:c r="K59" s="25" t="n">
        <x:v>5</x:v>
      </x:c>
      <x:c r="L59" s="26" t="n">
        <x:v>13363</x:v>
      </x:c>
      <x:c r="M59" s="27" t="n">
        <x:v>0.1</x:v>
      </x:c>
      <x:c r="N59" s="26" t="n">
        <x:f>K59*L59</x:f>
        <x:v>66815</x:v>
      </x:c>
      <x:c r="O59" s="26" t="n">
        <x:f>N59*(1-M59)</x:f>
        <x:v>60133.5</x:v>
      </x:c>
      <x:c r="P59" s="26" t="n">
        <x:v>10823</x:v>
      </x:c>
      <x:c r="Q59" s="26" t="n">
        <x:f>K59*P59</x:f>
        <x:v>54115</x:v>
      </x:c>
      <x:c r="R59" s="26" t="n">
        <x:f>O59-Q59</x:f>
        <x:v>6018.5</x:v>
      </x:c>
      <x:c r="S59" s="28" t="n">
        <x:f>IF(O59=0,0,R59/O59)</x:f>
        <x:v>0.10008564277815195</x:v>
      </x:c>
      <x:c r="T59" s="25" t="str">
        <x:v>Digital Wallet</x:v>
      </x:c>
      <x:c r="U59" s="25" t="str">
        <x:v>Returned</x:v>
      </x:c>
      <x:c r="V59" s="29" t="n">
        <x:v>4</x:v>
      </x:c>
    </x:row>
    <x:row r="60">
      <x:c r="A60" s="23" t="str">
        <x:v>MAN-2025-00059</x:v>
      </x:c>
      <x:c r="B60" s="24" t="n">
        <x:v>45816</x:v>
      </x:c>
      <x:c r="C60" s="25" t="str">
        <x:v>Mansoura</x:v>
      </x:c>
      <x:c r="D60" s="25" t="str">
        <x:v>Talkha</x:v>
      </x:c>
      <x:c r="E60" s="25" t="str">
        <x:v>Salma Mansour</x:v>
      </x:c>
      <x:c r="F60" s="25" t="str">
        <x:v>Salma Mansour</x:v>
      </x:c>
      <x:c r="G60" s="25" t="str">
        <x:v>Consumer</x:v>
      </x:c>
      <x:c r="H60" s="25" t="str">
        <x:v>Retail Store</x:v>
      </x:c>
      <x:c r="I60" s="25" t="str">
        <x:v>Home Appliances</x:v>
      </x:c>
      <x:c r="J60" s="25" t="str">
        <x:v>Washing Machine</x:v>
      </x:c>
      <x:c r="K60" s="25" t="n">
        <x:v>1</x:v>
      </x:c>
      <x:c r="L60" s="26" t="n">
        <x:v>16022</x:v>
      </x:c>
      <x:c r="M60" s="27" t="n">
        <x:v>0.1</x:v>
      </x:c>
      <x:c r="N60" s="26" t="n">
        <x:f>K60*L60</x:f>
        <x:v>16022</x:v>
      </x:c>
      <x:c r="O60" s="26" t="n">
        <x:f>N60*(1-M60)</x:f>
        <x:v>14419.800000000001</x:v>
      </x:c>
      <x:c r="P60" s="26" t="n">
        <x:v>14609</x:v>
      </x:c>
      <x:c r="Q60" s="26" t="n">
        <x:f>K60*P60</x:f>
        <x:v>14609</x:v>
      </x:c>
      <x:c r="R60" s="26" t="n">
        <x:f>O60-Q60</x:f>
        <x:v>-189.1999999999989</x:v>
      </x:c>
      <x:c r="S60" s="28" t="n">
        <x:f>IF(O60=0,0,R60/O60)</x:f>
        <x:v>-0.013120847723269317</x:v>
      </x:c>
      <x:c r="T60" s="25" t="str">
        <x:v>Digital Wallet</x:v>
      </x:c>
      <x:c r="U60" s="25" t="str">
        <x:v>Returned</x:v>
      </x:c>
      <x:c r="V60" s="29" t="n">
        <x:v>5</x:v>
      </x:c>
    </x:row>
    <x:row r="61">
      <x:c r="A61" s="23" t="str">
        <x:v>MAN-2025-00060</x:v>
      </x:c>
      <x:c r="B61" s="24" t="n">
        <x:v>45671</x:v>
      </x:c>
      <x:c r="C61" s="25" t="str">
        <x:v>Mansoura</x:v>
      </x:c>
      <x:c r="D61" s="25" t="str">
        <x:v>Talkha</x:v>
      </x:c>
      <x:c r="E61" s="25" t="str">
        <x:v>Salma Mansour</x:v>
      </x:c>
      <x:c r="F61" s="25" t="str">
        <x:v>Salma Hassan</x:v>
      </x:c>
      <x:c r="G61" s="25" t="str">
        <x:v>Consumer</x:v>
      </x:c>
      <x:c r="H61" s="25" t="str">
        <x:v>Phone Order</x:v>
      </x:c>
      <x:c r="I61" s="25" t="str">
        <x:v>Office Supplies</x:v>
      </x:c>
      <x:c r="J61" s="25" t="str">
        <x:v>Ink Cartridge</x:v>
      </x:c>
      <x:c r="K61" s="25" t="n">
        <x:v>5</x:v>
      </x:c>
      <x:c r="L61" s="26" t="n">
        <x:v>886</x:v>
      </x:c>
      <x:c r="M61" s="27" t="n">
        <x:v>0</x:v>
      </x:c>
      <x:c r="N61" s="26" t="n">
        <x:f>K61*L61</x:f>
        <x:v>4430</x:v>
      </x:c>
      <x:c r="O61" s="26" t="n">
        <x:f>N61*(1-M61)</x:f>
        <x:v>4430</x:v>
      </x:c>
      <x:c r="P61" s="26" t="n">
        <x:v>565</x:v>
      </x:c>
      <x:c r="Q61" s="26" t="n">
        <x:f>K61*P61</x:f>
        <x:v>2825</x:v>
      </x:c>
      <x:c r="R61" s="26" t="n">
        <x:f>O61-Q61</x:f>
        <x:v>1605</x:v>
      </x:c>
      <x:c r="S61" s="28" t="n">
        <x:f>IF(O61=0,0,R61/O61)</x:f>
        <x:v>0.3623024830699774</x:v>
      </x:c>
      <x:c r="T61" s="25" t="str">
        <x:v>Debit Card</x:v>
      </x:c>
      <x:c r="U61" s="25" t="str">
        <x:v>Completed</x:v>
      </x:c>
      <x:c r="V61" s="29" t="n">
        <x:v>5</x:v>
      </x:c>
    </x:row>
    <x:row r="62">
      <x:c r="A62" s="23" t="str">
        <x:v>MAN-2025-00061</x:v>
      </x:c>
      <x:c r="B62" s="24" t="n">
        <x:v>45972</x:v>
      </x:c>
      <x:c r="C62" s="25" t="str">
        <x:v>Mansoura</x:v>
      </x:c>
      <x:c r="D62" s="25" t="str">
        <x:v>Aga</x:v>
      </x:c>
      <x:c r="E62" s="25" t="str">
        <x:v>Ali Sayed</x:v>
      </x:c>
      <x:c r="F62" s="25" t="str">
        <x:v>Nour Farouk</x:v>
      </x:c>
      <x:c r="G62" s="25" t="str">
        <x:v>Corporate</x:v>
      </x:c>
      <x:c r="H62" s="25" t="str">
        <x:v>Website</x:v>
      </x:c>
      <x:c r="I62" s="25" t="str">
        <x:v>Electronics</x:v>
      </x:c>
      <x:c r="J62" s="25" t="str">
        <x:v>Headphones</x:v>
      </x:c>
      <x:c r="K62" s="25" t="n">
        <x:v>6</x:v>
      </x:c>
      <x:c r="L62" s="26" t="n">
        <x:v>1799</x:v>
      </x:c>
      <x:c r="M62" s="27" t="n">
        <x:v>0.1</x:v>
      </x:c>
      <x:c r="N62" s="26" t="n">
        <x:f>K62*L62</x:f>
        <x:v>10794</x:v>
      </x:c>
      <x:c r="O62" s="26" t="n">
        <x:f>N62*(1-M62)</x:f>
        <x:v>9714.6</x:v>
      </x:c>
      <x:c r="P62" s="26" t="n">
        <x:v>1101</x:v>
      </x:c>
      <x:c r="Q62" s="26" t="n">
        <x:f>K62*P62</x:f>
        <x:v>6606</x:v>
      </x:c>
      <x:c r="R62" s="26" t="n">
        <x:f>O62-Q62</x:f>
        <x:v>3108.6000000000004</x:v>
      </x:c>
      <x:c r="S62" s="28" t="n">
        <x:f>IF(O62=0,0,R62/O62)</x:f>
        <x:v>0.3199925884750788</x:v>
      </x:c>
      <x:c r="T62" s="25" t="str">
        <x:v>Cash</x:v>
      </x:c>
      <x:c r="U62" s="25" t="str">
        <x:v>Returned</x:v>
      </x:c>
      <x:c r="V62" s="29" t="n">
        <x:v>4</x:v>
      </x:c>
    </x:row>
    <x:row r="63">
      <x:c r="A63" s="23" t="str">
        <x:v>MAN-2025-00062</x:v>
      </x:c>
      <x:c r="B63" s="24" t="n">
        <x:v>45841</x:v>
      </x:c>
      <x:c r="C63" s="25" t="str">
        <x:v>Mansoura</x:v>
      </x:c>
      <x:c r="D63" s="25" t="str">
        <x:v>Aga</x:v>
      </x:c>
      <x:c r="E63" s="25" t="str">
        <x:v>Aya Farouk</x:v>
      </x:c>
      <x:c r="F63" s="25" t="str">
        <x:v>Mahmoud Adel</x:v>
      </x:c>
      <x:c r="G63" s="25" t="str">
        <x:v>Consumer</x:v>
      </x:c>
      <x:c r="H63" s="25" t="str">
        <x:v>Website</x:v>
      </x:c>
      <x:c r="I63" s="25" t="str">
        <x:v>Home Appliances</x:v>
      </x:c>
      <x:c r="J63" s="25" t="str">
        <x:v>Air Conditioner</x:v>
      </x:c>
      <x:c r="K63" s="25" t="n">
        <x:v>5</x:v>
      </x:c>
      <x:c r="L63" s="26" t="n">
        <x:v>20578</x:v>
      </x:c>
      <x:c r="M63" s="27" t="n">
        <x:v>0.15</x:v>
      </x:c>
      <x:c r="N63" s="26" t="n">
        <x:f>K63*L63</x:f>
        <x:v>102890</x:v>
      </x:c>
      <x:c r="O63" s="26" t="n">
        <x:f>N63*(1-M63)</x:f>
        <x:v>87456.5</x:v>
      </x:c>
      <x:c r="P63" s="26" t="n">
        <x:v>17215</x:v>
      </x:c>
      <x:c r="Q63" s="26" t="n">
        <x:f>K63*P63</x:f>
        <x:v>86075</x:v>
      </x:c>
      <x:c r="R63" s="26" t="n">
        <x:f>O63-Q63</x:f>
        <x:v>1381.5</x:v>
      </x:c>
      <x:c r="S63" s="28" t="n">
        <x:f>IF(O63=0,0,R63/O63)</x:f>
        <x:v>0.015796424508184068</x:v>
      </x:c>
      <x:c r="T63" s="25" t="str">
        <x:v>Debit Card</x:v>
      </x:c>
      <x:c r="U63" s="25" t="str">
        <x:v>Returned</x:v>
      </x:c>
      <x:c r="V63" s="29" t="n">
        <x:v>4</x:v>
      </x:c>
    </x:row>
    <x:row r="64">
      <x:c r="A64" s="23" t="str">
        <x:v>MAN-2025-00063</x:v>
      </x:c>
      <x:c r="B64" s="24" t="n">
        <x:v>45940</x:v>
      </x:c>
      <x:c r="C64" s="25" t="str">
        <x:v>Mansoura</x:v>
      </x:c>
      <x:c r="D64" s="25" t="str">
        <x:v>Talkha</x:v>
      </x:c>
      <x:c r="E64" s="25" t="str">
        <x:v>Salma Mansour</x:v>
      </x:c>
      <x:c r="F64" s="25" t="str">
        <x:v>Hana Sayed</x:v>
      </x:c>
      <x:c r="G64" s="25" t="str">
        <x:v>Consumer</x:v>
      </x:c>
      <x:c r="H64" s="25" t="str">
        <x:v>Mobile App</x:v>
      </x:c>
      <x:c r="I64" s="25" t="str">
        <x:v>Electronics</x:v>
      </x:c>
      <x:c r="J64" s="25" t="str">
        <x:v>Smartphone</x:v>
      </x:c>
      <x:c r="K64" s="25" t="n">
        <x:v>1</x:v>
      </x:c>
      <x:c r="L64" s="26" t="n">
        <x:v>12454</x:v>
      </x:c>
      <x:c r="M64" s="27" t="n">
        <x:v>0.05</x:v>
      </x:c>
      <x:c r="N64" s="26" t="n">
        <x:f>K64*L64</x:f>
        <x:v>12454</x:v>
      </x:c>
      <x:c r="O64" s="26" t="n">
        <x:f>N64*(1-M64)</x:f>
        <x:v>11831.3</x:v>
      </x:c>
      <x:c r="P64" s="26" t="n">
        <x:v>10651</x:v>
      </x:c>
      <x:c r="Q64" s="26" t="n">
        <x:f>K64*P64</x:f>
        <x:v>10651</x:v>
      </x:c>
      <x:c r="R64" s="26" t="n">
        <x:f>O64-Q64</x:f>
        <x:v>1180.2999999999993</x:v>
      </x:c>
      <x:c r="S64" s="28" t="n">
        <x:f>IF(O64=0,0,R64/O64)</x:f>
        <x:v>0.09976080396913267</x:v>
      </x:c>
      <x:c r="T64" s="25" t="str">
        <x:v>Credit Card</x:v>
      </x:c>
      <x:c r="U64" s="25" t="str">
        <x:v>Completed</x:v>
      </x:c>
      <x:c r="V64" s="29" t="n">
        <x:v>3</x:v>
      </x:c>
    </x:row>
    <x:row r="65">
      <x:c r="A65" s="23" t="str">
        <x:v>MAN-2025-00064</x:v>
      </x:c>
      <x:c r="B65" s="24" t="n">
        <x:v>45766</x:v>
      </x:c>
      <x:c r="C65" s="25" t="str">
        <x:v>Mansoura</x:v>
      </x:c>
      <x:c r="D65" s="25" t="str">
        <x:v>Aga</x:v>
      </x:c>
      <x:c r="E65" s="25" t="str">
        <x:v>Aya Farouk</x:v>
      </x:c>
      <x:c r="F65" s="25" t="str">
        <x:v>Hana Mansour</x:v>
      </x:c>
      <x:c r="G65" s="25" t="str">
        <x:v>Corporate</x:v>
      </x:c>
      <x:c r="H65" s="25" t="str">
        <x:v>Website</x:v>
      </x:c>
      <x:c r="I65" s="25" t="str">
        <x:v>Electronics</x:v>
      </x:c>
      <x:c r="J65" s="25" t="str">
        <x:v>Tablet</x:v>
      </x:c>
      <x:c r="K65" s="25" t="n">
        <x:v>1</x:v>
      </x:c>
      <x:c r="L65" s="26" t="n">
        <x:v>9147</x:v>
      </x:c>
      <x:c r="M65" s="27" t="n">
        <x:v>0</x:v>
      </x:c>
      <x:c r="N65" s="26" t="n">
        <x:f>K65*L65</x:f>
        <x:v>9147</x:v>
      </x:c>
      <x:c r="O65" s="26" t="n">
        <x:f>N65*(1-M65)</x:f>
        <x:v>9147</x:v>
      </x:c>
      <x:c r="P65" s="26" t="n">
        <x:v>7225</x:v>
      </x:c>
      <x:c r="Q65" s="26" t="n">
        <x:f>K65*P65</x:f>
        <x:v>7225</x:v>
      </x:c>
      <x:c r="R65" s="26" t="n">
        <x:f>O65-Q65</x:f>
        <x:v>1922</x:v>
      </x:c>
      <x:c r="S65" s="28" t="n">
        <x:f>IF(O65=0,0,R65/O65)</x:f>
        <x:v>0.2101235377719471</x:v>
      </x:c>
      <x:c r="T65" s="25" t="str">
        <x:v>Digital Wallet</x:v>
      </x:c>
      <x:c r="U65" s="25" t="str">
        <x:v>Cancelled</x:v>
      </x:c>
      <x:c r="V65" s="29" t="n">
        <x:v>4</x:v>
      </x:c>
    </x:row>
    <x:row r="66">
      <x:c r="A66" s="23" t="str">
        <x:v>MAN-2025-00065</x:v>
      </x:c>
      <x:c r="B66" s="24" t="n">
        <x:v>45846</x:v>
      </x:c>
      <x:c r="C66" s="25" t="str">
        <x:v>Mansoura</x:v>
      </x:c>
      <x:c r="D66" s="25" t="str">
        <x:v>Aga</x:v>
      </x:c>
      <x:c r="E66" s="25" t="str">
        <x:v>Youssef Fathy</x:v>
      </x:c>
      <x:c r="F66" s="25" t="str">
        <x:v>Farah Gamal</x:v>
      </x:c>
      <x:c r="G66" s="25" t="str">
        <x:v>Small Business</x:v>
      </x:c>
      <x:c r="H66" s="25" t="str">
        <x:v>Website</x:v>
      </x:c>
      <x:c r="I66" s="25" t="str">
        <x:v>Electronics</x:v>
      </x:c>
      <x:c r="J66" s="25" t="str">
        <x:v>Smartphone</x:v>
      </x:c>
      <x:c r="K66" s="25" t="n">
        <x:v>1</x:v>
      </x:c>
      <x:c r="L66" s="26" t="n">
        <x:v>13061</x:v>
      </x:c>
      <x:c r="M66" s="27" t="n">
        <x:v>0.1</x:v>
      </x:c>
      <x:c r="N66" s="26" t="n">
        <x:f>K66*L66</x:f>
        <x:v>13061</x:v>
      </x:c>
      <x:c r="O66" s="26" t="n">
        <x:f>N66*(1-M66)</x:f>
        <x:v>11754.9</x:v>
      </x:c>
      <x:c r="P66" s="26" t="n">
        <x:v>11143</x:v>
      </x:c>
      <x:c r="Q66" s="26" t="n">
        <x:f>K66*P66</x:f>
        <x:v>11143</x:v>
      </x:c>
      <x:c r="R66" s="26" t="n">
        <x:f>O66-Q66</x:f>
        <x:v>611.8999999999996</x:v>
      </x:c>
      <x:c r="S66" s="28" t="n">
        <x:f>IF(O66=0,0,R66/O66)</x:f>
        <x:v>0.05205488774893871</x:v>
      </x:c>
      <x:c r="T66" s="25" t="str">
        <x:v>Bank Transfer</x:v>
      </x:c>
      <x:c r="U66" s="25" t="str">
        <x:v>Completed</x:v>
      </x:c>
      <x:c r="V66" s="29" t="n">
        <x:v>4</x:v>
      </x:c>
    </x:row>
    <x:row r="67">
      <x:c r="A67" s="23" t="str">
        <x:v>MAN-2025-00066</x:v>
      </x:c>
      <x:c r="B67" s="24" t="n">
        <x:v>45950</x:v>
      </x:c>
      <x:c r="C67" s="25" t="str">
        <x:v>Mansoura</x:v>
      </x:c>
      <x:c r="D67" s="25" t="str">
        <x:v>Mit Ghamr</x:v>
      </x:c>
      <x:c r="E67" s="25" t="str">
        <x:v>Youssef Fathy</x:v>
      </x:c>
      <x:c r="F67" s="25" t="str">
        <x:v>Mariam Farouk</x:v>
      </x:c>
      <x:c r="G67" s="25" t="str">
        <x:v>Consumer</x:v>
      </x:c>
      <x:c r="H67" s="25" t="str">
        <x:v>Retail Store</x:v>
      </x:c>
      <x:c r="I67" s="25" t="str">
        <x:v>Office Supplies</x:v>
      </x:c>
      <x:c r="J67" s="25" t="str">
        <x:v>Ink Cartridge</x:v>
      </x:c>
      <x:c r="K67" s="25" t="n">
        <x:v>4</x:v>
      </x:c>
      <x:c r="L67" s="26" t="n">
        <x:v>819</x:v>
      </x:c>
      <x:c r="M67" s="27" t="n">
        <x:v>0.1</x:v>
      </x:c>
      <x:c r="N67" s="26" t="n">
        <x:f>K67*L67</x:f>
        <x:v>3276</x:v>
      </x:c>
      <x:c r="O67" s="26" t="n">
        <x:f>N67*(1-M67)</x:f>
        <x:v>2948.4</x:v>
      </x:c>
      <x:c r="P67" s="26" t="n">
        <x:v>567</x:v>
      </x:c>
      <x:c r="Q67" s="26" t="n">
        <x:f>K67*P67</x:f>
        <x:v>2268</x:v>
      </x:c>
      <x:c r="R67" s="26" t="n">
        <x:f>O67-Q67</x:f>
        <x:v>680.4000000000001</x:v>
      </x:c>
      <x:c r="S67" s="28" t="n">
        <x:f>IF(O67=0,0,R67/O67)</x:f>
        <x:v>0.23076923076923078</x:v>
      </x:c>
      <x:c r="T67" s="25" t="str">
        <x:v>Credit Card</x:v>
      </x:c>
      <x:c r="U67" s="25" t="str">
        <x:v>Completed</x:v>
      </x:c>
      <x:c r="V67" s="29" t="n">
        <x:v>5</x:v>
      </x:c>
    </x:row>
    <x:row r="68">
      <x:c r="A68" s="23" t="str">
        <x:v>MAN-2025-00067</x:v>
      </x:c>
      <x:c r="B68" s="24" t="n">
        <x:v>45987</x:v>
      </x:c>
      <x:c r="C68" s="25" t="str">
        <x:v>Mansoura</x:v>
      </x:c>
      <x:c r="D68" s="25" t="str">
        <x:v>Mansoura City</x:v>
      </x:c>
      <x:c r="E68" s="25" t="str">
        <x:v>Youssef Fathy</x:v>
      </x:c>
      <x:c r="F68" s="25" t="str">
        <x:v>Karim Hassan</x:v>
      </x:c>
      <x:c r="G68" s="25" t="str">
        <x:v>Small Business</x:v>
      </x:c>
      <x:c r="H68" s="25" t="str">
        <x:v>Website</x:v>
      </x:c>
      <x:c r="I68" s="25" t="str">
        <x:v>Electronics</x:v>
      </x:c>
      <x:c r="J68" s="25" t="str">
        <x:v>Headphones</x:v>
      </x:c>
      <x:c r="K68" s="25" t="n">
        <x:v>2</x:v>
      </x:c>
      <x:c r="L68" s="26" t="n">
        <x:v>1774</x:v>
      </x:c>
      <x:c r="M68" s="27" t="n">
        <x:v>0</x:v>
      </x:c>
      <x:c r="N68" s="26" t="n">
        <x:f>K68*L68</x:f>
        <x:v>3548</x:v>
      </x:c>
      <x:c r="O68" s="26" t="n">
        <x:f>N68*(1-M68)</x:f>
        <x:v>3548</x:v>
      </x:c>
      <x:c r="P68" s="26" t="n">
        <x:v>1091</x:v>
      </x:c>
      <x:c r="Q68" s="26" t="n">
        <x:f>K68*P68</x:f>
        <x:v>2182</x:v>
      </x:c>
      <x:c r="R68" s="26" t="n">
        <x:f>O68-Q68</x:f>
        <x:v>1366</x:v>
      </x:c>
      <x:c r="S68" s="28" t="n">
        <x:f>IF(O68=0,0,R68/O68)</x:f>
        <x:v>0.3850056369785795</x:v>
      </x:c>
      <x:c r="T68" s="25" t="str">
        <x:v>Cash</x:v>
      </x:c>
      <x:c r="U68" s="25" t="str">
        <x:v>Completed</x:v>
      </x:c>
      <x:c r="V68" s="29" t="n">
        <x:v>3</x:v>
      </x:c>
    </x:row>
    <x:row r="69">
      <x:c r="A69" s="23" t="str">
        <x:v>MAN-2025-00068</x:v>
      </x:c>
      <x:c r="B69" s="24" t="n">
        <x:v>45772</x:v>
      </x:c>
      <x:c r="C69" s="25" t="str">
        <x:v>Mansoura</x:v>
      </x:c>
      <x:c r="D69" s="25" t="str">
        <x:v>Talkha</x:v>
      </x:c>
      <x:c r="E69" s="25" t="str">
        <x:v>Aya Farouk</x:v>
      </x:c>
      <x:c r="F69" s="25" t="str">
        <x:v>Omar Mansour</x:v>
      </x:c>
      <x:c r="G69" s="25" t="str">
        <x:v>Consumer</x:v>
      </x:c>
      <x:c r="H69" s="25" t="str">
        <x:v>Phone Order</x:v>
      </x:c>
      <x:c r="I69" s="25" t="str">
        <x:v>Electronics</x:v>
      </x:c>
      <x:c r="J69" s="25" t="str">
        <x:v>Headphones</x:v>
      </x:c>
      <x:c r="K69" s="25" t="n">
        <x:v>4</x:v>
      </x:c>
      <x:c r="L69" s="26" t="n">
        <x:v>1596</x:v>
      </x:c>
      <x:c r="M69" s="27" t="n">
        <x:v>0</x:v>
      </x:c>
      <x:c r="N69" s="26" t="n">
        <x:f>K69*L69</x:f>
        <x:v>6384</x:v>
      </x:c>
      <x:c r="O69" s="26" t="n">
        <x:f>N69*(1-M69)</x:f>
        <x:v>6384</x:v>
      </x:c>
      <x:c r="P69" s="26" t="n">
        <x:v>1123</x:v>
      </x:c>
      <x:c r="Q69" s="26" t="n">
        <x:f>K69*P69</x:f>
        <x:v>4492</x:v>
      </x:c>
      <x:c r="R69" s="26" t="n">
        <x:f>O69-Q69</x:f>
        <x:v>1892</x:v>
      </x:c>
      <x:c r="S69" s="28" t="n">
        <x:f>IF(O69=0,0,R69/O69)</x:f>
        <x:v>0.29636591478696744</x:v>
      </x:c>
      <x:c r="T69" s="25" t="str">
        <x:v>Cash</x:v>
      </x:c>
      <x:c r="U69" s="25" t="str">
        <x:v>Returned</x:v>
      </x:c>
      <x:c r="V69" s="29" t="n">
        <x:v>5</x:v>
      </x:c>
    </x:row>
    <x:row r="70">
      <x:c r="A70" s="23" t="str">
        <x:v>MAN-2025-00069</x:v>
      </x:c>
      <x:c r="B70" s="24" t="n">
        <x:v>45722</x:v>
      </x:c>
      <x:c r="C70" s="25" t="str">
        <x:v>Mansoura</x:v>
      </x:c>
      <x:c r="D70" s="25" t="str">
        <x:v>Sherbin</x:v>
      </x:c>
      <x:c r="E70" s="25" t="str">
        <x:v>Aya Farouk</x:v>
      </x:c>
      <x:c r="F70" s="25" t="str">
        <x:v>Nour Sayed</x:v>
      </x:c>
      <x:c r="G70" s="25" t="str">
        <x:v>Corporate</x:v>
      </x:c>
      <x:c r="H70" s="25" t="str">
        <x:v>Website</x:v>
      </x:c>
      <x:c r="I70" s="25" t="str">
        <x:v>Home Appliances</x:v>
      </x:c>
      <x:c r="J70" s="25" t="str">
        <x:v>Blender</x:v>
      </x:c>
      <x:c r="K70" s="25" t="n">
        <x:v>4</x:v>
      </x:c>
      <x:c r="L70" s="26" t="n">
        <x:v>1723</x:v>
      </x:c>
      <x:c r="M70" s="27" t="n">
        <x:v>0.05</x:v>
      </x:c>
      <x:c r="N70" s="26" t="n">
        <x:f>K70*L70</x:f>
        <x:v>6892</x:v>
      </x:c>
      <x:c r="O70" s="26" t="n">
        <x:f>N70*(1-M70)</x:f>
        <x:v>6547.4</x:v>
      </x:c>
      <x:c r="P70" s="26" t="n">
        <x:v>1261</x:v>
      </x:c>
      <x:c r="Q70" s="26" t="n">
        <x:f>K70*P70</x:f>
        <x:v>5044</x:v>
      </x:c>
      <x:c r="R70" s="26" t="n">
        <x:f>O70-Q70</x:f>
        <x:v>1503.3999999999996</x:v>
      </x:c>
      <x:c r="S70" s="28" t="n">
        <x:f>IF(O70=0,0,R70/O70)</x:f>
        <x:v>0.22961786357943606</x:v>
      </x:c>
      <x:c r="T70" s="25" t="str">
        <x:v>Digital Wallet</x:v>
      </x:c>
      <x:c r="U70" s="25" t="str">
        <x:v>Cancelled</x:v>
      </x:c>
      <x:c r="V70" s="29" t="n">
        <x:v>4</x:v>
      </x:c>
    </x:row>
    <x:row r="71">
      <x:c r="A71" s="23" t="str">
        <x:v>MAN-2025-00070</x:v>
      </x:c>
      <x:c r="B71" s="24" t="n">
        <x:v>45840</x:v>
      </x:c>
      <x:c r="C71" s="25" t="str">
        <x:v>Mansoura</x:v>
      </x:c>
      <x:c r="D71" s="25" t="str">
        <x:v>Mit Ghamr</x:v>
      </x:c>
      <x:c r="E71" s="25" t="str">
        <x:v>Aya Farouk</x:v>
      </x:c>
      <x:c r="F71" s="25" t="str">
        <x:v>Sara Nasser</x:v>
      </x:c>
      <x:c r="G71" s="25" t="str">
        <x:v>Consumer</x:v>
      </x:c>
      <x:c r="H71" s="25" t="str">
        <x:v>Retail Store</x:v>
      </x:c>
      <x:c r="I71" s="25" t="str">
        <x:v>Home Appliances</x:v>
      </x:c>
      <x:c r="J71" s="25" t="str">
        <x:v>Microwave</x:v>
      </x:c>
      <x:c r="K71" s="25" t="n">
        <x:v>4</x:v>
      </x:c>
      <x:c r="L71" s="26" t="n">
        <x:v>5445</x:v>
      </x:c>
      <x:c r="M71" s="27" t="n">
        <x:v>0.1</x:v>
      </x:c>
      <x:c r="N71" s="26" t="n">
        <x:f>K71*L71</x:f>
        <x:v>21780</x:v>
      </x:c>
      <x:c r="O71" s="26" t="n">
        <x:f>N71*(1-M71)</x:f>
        <x:v>19602</x:v>
      </x:c>
      <x:c r="P71" s="26" t="n">
        <x:v>4378</x:v>
      </x:c>
      <x:c r="Q71" s="26" t="n">
        <x:f>K71*P71</x:f>
        <x:v>17512</x:v>
      </x:c>
      <x:c r="R71" s="26" t="n">
        <x:f>O71-Q71</x:f>
        <x:v>2090</x:v>
      </x:c>
      <x:c r="S71" s="28" t="n">
        <x:f>IF(O71=0,0,R71/O71)</x:f>
        <x:v>0.10662177328843996</x:v>
      </x:c>
      <x:c r="T71" s="25" t="str">
        <x:v>Digital Wallet</x:v>
      </x:c>
      <x:c r="U71" s="25" t="str">
        <x:v>Cancelled</x:v>
      </x:c>
      <x:c r="V71" s="29" t="n">
        <x:v>4</x:v>
      </x:c>
    </x:row>
    <x:row r="72">
      <x:c r="A72" s="23" t="str">
        <x:v>MAN-2025-00071</x:v>
      </x:c>
      <x:c r="B72" s="24" t="n">
        <x:v>45959</x:v>
      </x:c>
      <x:c r="C72" s="25" t="str">
        <x:v>Mansoura</x:v>
      </x:c>
      <x:c r="D72" s="25" t="str">
        <x:v>Mit Ghamr</x:v>
      </x:c>
      <x:c r="E72" s="25" t="str">
        <x:v>Aya Farouk</x:v>
      </x:c>
      <x:c r="F72" s="25" t="str">
        <x:v>Salma Farouk</x:v>
      </x:c>
      <x:c r="G72" s="25" t="str">
        <x:v>Consumer</x:v>
      </x:c>
      <x:c r="H72" s="25" t="str">
        <x:v>Retail Store</x:v>
      </x:c>
      <x:c r="I72" s="25" t="str">
        <x:v>Electronics</x:v>
      </x:c>
      <x:c r="J72" s="25" t="str">
        <x:v>Tablet</x:v>
      </x:c>
      <x:c r="K72" s="25" t="n">
        <x:v>2</x:v>
      </x:c>
      <x:c r="L72" s="26" t="n">
        <x:v>8820</x:v>
      </x:c>
      <x:c r="M72" s="27" t="n">
        <x:v>0.1</x:v>
      </x:c>
      <x:c r="N72" s="26" t="n">
        <x:f>K72*L72</x:f>
        <x:v>17640</x:v>
      </x:c>
      <x:c r="O72" s="26" t="n">
        <x:f>N72*(1-M72)</x:f>
        <x:v>15876</x:v>
      </x:c>
      <x:c r="P72" s="26" t="n">
        <x:v>7539</x:v>
      </x:c>
      <x:c r="Q72" s="26" t="n">
        <x:f>K72*P72</x:f>
        <x:v>15078</x:v>
      </x:c>
      <x:c r="R72" s="26" t="n">
        <x:f>O72-Q72</x:f>
        <x:v>798</x:v>
      </x:c>
      <x:c r="S72" s="28" t="n">
        <x:f>IF(O72=0,0,R72/O72)</x:f>
        <x:v>0.05026455026455026</x:v>
      </x:c>
      <x:c r="T72" s="25" t="str">
        <x:v>Credit Card</x:v>
      </x:c>
      <x:c r="U72" s="25" t="str">
        <x:v>Completed</x:v>
      </x:c>
      <x:c r="V72" s="29" t="n">
        <x:v>4</x:v>
      </x:c>
    </x:row>
    <x:row r="73">
      <x:c r="A73" s="23" t="str">
        <x:v>MAN-2025-00072</x:v>
      </x:c>
      <x:c r="B73" s="24" t="n">
        <x:v>45999</x:v>
      </x:c>
      <x:c r="C73" s="25" t="str">
        <x:v>Mansoura</x:v>
      </x:c>
      <x:c r="D73" s="25" t="str">
        <x:v>Talkha</x:v>
      </x:c>
      <x:c r="E73" s="25" t="str">
        <x:v>Youssef Fathy</x:v>
      </x:c>
      <x:c r="F73" s="25" t="str">
        <x:v>Hana Adel</x:v>
      </x:c>
      <x:c r="G73" s="25" t="str">
        <x:v>Small Business</x:v>
      </x:c>
      <x:c r="H73" s="25" t="str">
        <x:v>Mobile App</x:v>
      </x:c>
      <x:c r="I73" s="25" t="str">
        <x:v>Electronics</x:v>
      </x:c>
      <x:c r="J73" s="25" t="str">
        <x:v>Tablet</x:v>
      </x:c>
      <x:c r="K73" s="25" t="n">
        <x:v>4</x:v>
      </x:c>
      <x:c r="L73" s="26" t="n">
        <x:v>8693</x:v>
      </x:c>
      <x:c r="M73" s="27" t="n">
        <x:v>0</x:v>
      </x:c>
      <x:c r="N73" s="26" t="n">
        <x:f>K73*L73</x:f>
        <x:v>34772</x:v>
      </x:c>
      <x:c r="O73" s="26" t="n">
        <x:f>N73*(1-M73)</x:f>
        <x:v>34772</x:v>
      </x:c>
      <x:c r="P73" s="26" t="n">
        <x:v>7383</x:v>
      </x:c>
      <x:c r="Q73" s="26" t="n">
        <x:f>K73*P73</x:f>
        <x:v>29532</x:v>
      </x:c>
      <x:c r="R73" s="26" t="n">
        <x:f>O73-Q73</x:f>
        <x:v>5240</x:v>
      </x:c>
      <x:c r="S73" s="28" t="n">
        <x:f>IF(O73=0,0,R73/O73)</x:f>
        <x:v>0.15069596226849188</x:v>
      </x:c>
      <x:c r="T73" s="25" t="str">
        <x:v>Credit Card</x:v>
      </x:c>
      <x:c r="U73" s="25" t="str">
        <x:v>Cancelled</x:v>
      </x:c>
      <x:c r="V73" s="29" t="n">
        <x:v>3</x:v>
      </x:c>
    </x:row>
    <x:row r="74">
      <x:c r="A74" s="23" t="str">
        <x:v>MAN-2025-00073</x:v>
      </x:c>
      <x:c r="B74" s="24" t="n">
        <x:v>45679</x:v>
      </x:c>
      <x:c r="C74" s="25" t="str">
        <x:v>Mansoura</x:v>
      </x:c>
      <x:c r="D74" s="25" t="str">
        <x:v>Mansoura City</x:v>
      </x:c>
      <x:c r="E74" s="25" t="str">
        <x:v>Salma Mansour</x:v>
      </x:c>
      <x:c r="F74" s="25" t="str">
        <x:v>Mohamed Tarek</x:v>
      </x:c>
      <x:c r="G74" s="25" t="str">
        <x:v>Small Business</x:v>
      </x:c>
      <x:c r="H74" s="25" t="str">
        <x:v>Phone Order</x:v>
      </x:c>
      <x:c r="I74" s="25" t="str">
        <x:v>Electronics</x:v>
      </x:c>
      <x:c r="J74" s="25" t="str">
        <x:v>Tablet</x:v>
      </x:c>
      <x:c r="K74" s="25" t="n">
        <x:v>4</x:v>
      </x:c>
      <x:c r="L74" s="26" t="n">
        <x:v>8570</x:v>
      </x:c>
      <x:c r="M74" s="27" t="n">
        <x:v>0</x:v>
      </x:c>
      <x:c r="N74" s="26" t="n">
        <x:f>K74*L74</x:f>
        <x:v>34280</x:v>
      </x:c>
      <x:c r="O74" s="26" t="n">
        <x:f>N74*(1-M74)</x:f>
        <x:v>34280</x:v>
      </x:c>
      <x:c r="P74" s="26" t="n">
        <x:v>7447</x:v>
      </x:c>
      <x:c r="Q74" s="26" t="n">
        <x:f>K74*P74</x:f>
        <x:v>29788</x:v>
      </x:c>
      <x:c r="R74" s="26" t="n">
        <x:f>O74-Q74</x:f>
        <x:v>4492</x:v>
      </x:c>
      <x:c r="S74" s="28" t="n">
        <x:f>IF(O74=0,0,R74/O74)</x:f>
        <x:v>0.1310385064177363</x:v>
      </x:c>
      <x:c r="T74" s="25" t="str">
        <x:v>Digital Wallet</x:v>
      </x:c>
      <x:c r="U74" s="25" t="str">
        <x:v>Completed</x:v>
      </x:c>
      <x:c r="V74" s="29" t="n">
        <x:v>4</x:v>
      </x:c>
    </x:row>
    <x:row r="75">
      <x:c r="A75" s="23" t="str">
        <x:v>MAN-2025-00074</x:v>
      </x:c>
      <x:c r="B75" s="24" t="n">
        <x:v>45968</x:v>
      </x:c>
      <x:c r="C75" s="25" t="str">
        <x:v>Mansoura</x:v>
      </x:c>
      <x:c r="D75" s="25" t="str">
        <x:v>Talkha</x:v>
      </x:c>
      <x:c r="E75" s="25" t="str">
        <x:v>Salma Mansour</x:v>
      </x:c>
      <x:c r="F75" s="25" t="str">
        <x:v>Hana Farouk</x:v>
      </x:c>
      <x:c r="G75" s="25" t="str">
        <x:v>Consumer</x:v>
      </x:c>
      <x:c r="H75" s="25" t="str">
        <x:v>Mobile App</x:v>
      </x:c>
      <x:c r="I75" s="25" t="str">
        <x:v>Furniture</x:v>
      </x:c>
      <x:c r="J75" s="25" t="str">
        <x:v>Bookshelf</x:v>
      </x:c>
      <x:c r="K75" s="25" t="n">
        <x:v>5</x:v>
      </x:c>
      <x:c r="L75" s="26" t="n">
        <x:v>3012</x:v>
      </x:c>
      <x:c r="M75" s="27" t="n">
        <x:v>0</x:v>
      </x:c>
      <x:c r="N75" s="26" t="n">
        <x:f>K75*L75</x:f>
        <x:v>15060</x:v>
      </x:c>
      <x:c r="O75" s="26" t="n">
        <x:f>N75*(1-M75)</x:f>
        <x:v>15060</x:v>
      </x:c>
      <x:c r="P75" s="26" t="n">
        <x:v>2144</x:v>
      </x:c>
      <x:c r="Q75" s="26" t="n">
        <x:f>K75*P75</x:f>
        <x:v>10720</x:v>
      </x:c>
      <x:c r="R75" s="26" t="n">
        <x:f>O75-Q75</x:f>
        <x:v>4340</x:v>
      </x:c>
      <x:c r="S75" s="28" t="n">
        <x:f>IF(O75=0,0,R75/O75)</x:f>
        <x:v>0.28818061088977426</x:v>
      </x:c>
      <x:c r="T75" s="25" t="str">
        <x:v>Bank Transfer</x:v>
      </x:c>
      <x:c r="U75" s="25" t="str">
        <x:v>Completed</x:v>
      </x:c>
      <x:c r="V75" s="29" t="n">
        <x:v>5</x:v>
      </x:c>
    </x:row>
    <x:row r="76">
      <x:c r="A76" s="23" t="str">
        <x:v>MAN-2025-00075</x:v>
      </x:c>
      <x:c r="B76" s="24" t="n">
        <x:v>45968</x:v>
      </x:c>
      <x:c r="C76" s="25" t="str">
        <x:v>Mansoura</x:v>
      </x:c>
      <x:c r="D76" s="25" t="str">
        <x:v>Sherbin</x:v>
      </x:c>
      <x:c r="E76" s="25" t="str">
        <x:v>Aya Farouk</x:v>
      </x:c>
      <x:c r="F76" s="25" t="str">
        <x:v>Amr Adel</x:v>
      </x:c>
      <x:c r="G76" s="25" t="str">
        <x:v>Small Business</x:v>
      </x:c>
      <x:c r="H76" s="25" t="str">
        <x:v>Mobile App</x:v>
      </x:c>
      <x:c r="I76" s="25" t="str">
        <x:v>Furniture</x:v>
      </x:c>
      <x:c r="J76" s="25" t="str">
        <x:v>Bookshelf</x:v>
      </x:c>
      <x:c r="K76" s="25" t="n">
        <x:v>1</x:v>
      </x:c>
      <x:c r="L76" s="26" t="n">
        <x:v>3092</x:v>
      </x:c>
      <x:c r="M76" s="27" t="n">
        <x:v>0</x:v>
      </x:c>
      <x:c r="N76" s="26" t="n">
        <x:f>K76*L76</x:f>
        <x:v>3092</x:v>
      </x:c>
      <x:c r="O76" s="26" t="n">
        <x:f>N76*(1-M76)</x:f>
        <x:v>3092</x:v>
      </x:c>
      <x:c r="P76" s="26" t="n">
        <x:v>2214</x:v>
      </x:c>
      <x:c r="Q76" s="26" t="n">
        <x:f>K76*P76</x:f>
        <x:v>2214</x:v>
      </x:c>
      <x:c r="R76" s="26" t="n">
        <x:f>O76-Q76</x:f>
        <x:v>878</x:v>
      </x:c>
      <x:c r="S76" s="28" t="n">
        <x:f>IF(O76=0,0,R76/O76)</x:f>
        <x:v>0.28395860284605434</x:v>
      </x:c>
      <x:c r="T76" s="25" t="str">
        <x:v>Bank Transfer</x:v>
      </x:c>
      <x:c r="U76" s="25" t="str">
        <x:v>Completed</x:v>
      </x:c>
      <x:c r="V76" s="29" t="n">
        <x:v>4</x:v>
      </x:c>
    </x:row>
    <x:row r="77">
      <x:c r="A77" s="23" t="str">
        <x:v>MAN-2025-00076</x:v>
      </x:c>
      <x:c r="B77" s="24" t="n">
        <x:v>45691</x:v>
      </x:c>
      <x:c r="C77" s="25" t="str">
        <x:v>Mansoura</x:v>
      </x:c>
      <x:c r="D77" s="25" t="str">
        <x:v>Mit Ghamr</x:v>
      </x:c>
      <x:c r="E77" s="25" t="str">
        <x:v>Ali Sayed</x:v>
      </x:c>
      <x:c r="F77" s="25" t="str">
        <x:v>Mahmoud Fathy</x:v>
      </x:c>
      <x:c r="G77" s="25" t="str">
        <x:v>Corporate</x:v>
      </x:c>
      <x:c r="H77" s="25" t="str">
        <x:v>Retail Store</x:v>
      </x:c>
      <x:c r="I77" s="25" t="str">
        <x:v>Electronics</x:v>
      </x:c>
      <x:c r="J77" s="25" t="str">
        <x:v>Smartphone</x:v>
      </x:c>
      <x:c r="K77" s="25" t="n">
        <x:v>2</x:v>
      </x:c>
      <x:c r="L77" s="26" t="n">
        <x:v>12933</x:v>
      </x:c>
      <x:c r="M77" s="27" t="n">
        <x:v>0.15</x:v>
      </x:c>
      <x:c r="N77" s="26" t="n">
        <x:f>K77*L77</x:f>
        <x:v>25866</x:v>
      </x:c>
      <x:c r="O77" s="26" t="n">
        <x:f>N77*(1-M77)</x:f>
        <x:v>21986.1</x:v>
      </x:c>
      <x:c r="P77" s="26" t="n">
        <x:v>11225</x:v>
      </x:c>
      <x:c r="Q77" s="26" t="n">
        <x:f>K77*P77</x:f>
        <x:v>22450</x:v>
      </x:c>
      <x:c r="R77" s="26" t="n">
        <x:f>O77-Q77</x:f>
        <x:v>-463.90000000000146</x:v>
      </x:c>
      <x:c r="S77" s="28" t="n">
        <x:f>IF(O77=0,0,R77/O77)</x:f>
        <x:v>-0.02109969480717369</x:v>
      </x:c>
      <x:c r="T77" s="25" t="str">
        <x:v>Debit Card</x:v>
      </x:c>
      <x:c r="U77" s="25" t="str">
        <x:v>Completed</x:v>
      </x:c>
      <x:c r="V77" s="29" t="n">
        <x:v>5</x:v>
      </x:c>
    </x:row>
    <x:row r="78">
      <x:c r="A78" s="23" t="str">
        <x:v>MAN-2025-00077</x:v>
      </x:c>
      <x:c r="B78" s="24" t="n">
        <x:v>45753</x:v>
      </x:c>
      <x:c r="C78" s="25" t="str">
        <x:v>Mansoura</x:v>
      </x:c>
      <x:c r="D78" s="25" t="str">
        <x:v>Mansoura City</x:v>
      </x:c>
      <x:c r="E78" s="25" t="str">
        <x:v>Aya Farouk</x:v>
      </x:c>
      <x:c r="F78" s="25" t="str">
        <x:v>Mariam Fathy</x:v>
      </x:c>
      <x:c r="G78" s="25" t="str">
        <x:v>Small Business</x:v>
      </x:c>
      <x:c r="H78" s="25" t="str">
        <x:v>Website</x:v>
      </x:c>
      <x:c r="I78" s="25" t="str">
        <x:v>Electronics</x:v>
      </x:c>
      <x:c r="J78" s="25" t="str">
        <x:v>Tablet</x:v>
      </x:c>
      <x:c r="K78" s="25" t="n">
        <x:v>2</x:v>
      </x:c>
      <x:c r="L78" s="26" t="n">
        <x:v>8916</x:v>
      </x:c>
      <x:c r="M78" s="27" t="n">
        <x:v>0</x:v>
      </x:c>
      <x:c r="N78" s="26" t="n">
        <x:f>K78*L78</x:f>
        <x:v>17832</x:v>
      </x:c>
      <x:c r="O78" s="26" t="n">
        <x:f>N78*(1-M78)</x:f>
        <x:v>17832</x:v>
      </x:c>
      <x:c r="P78" s="26" t="n">
        <x:v>7096</x:v>
      </x:c>
      <x:c r="Q78" s="26" t="n">
        <x:f>K78*P78</x:f>
        <x:v>14192</x:v>
      </x:c>
      <x:c r="R78" s="26" t="n">
        <x:f>O78-Q78</x:f>
        <x:v>3640</x:v>
      </x:c>
      <x:c r="S78" s="28" t="n">
        <x:f>IF(O78=0,0,R78/O78)</x:f>
        <x:v>0.2041274113952445</x:v>
      </x:c>
      <x:c r="T78" s="25" t="str">
        <x:v>Bank Transfer</x:v>
      </x:c>
      <x:c r="U78" s="25" t="str">
        <x:v>Returned</x:v>
      </x:c>
      <x:c r="V78" s="29" t="n">
        <x:v>3</x:v>
      </x:c>
    </x:row>
    <x:row r="79">
      <x:c r="A79" s="23" t="str">
        <x:v>MAN-2025-00078</x:v>
      </x:c>
      <x:c r="B79" s="24" t="n">
        <x:v>45718</x:v>
      </x:c>
      <x:c r="C79" s="25" t="str">
        <x:v>Mansoura</x:v>
      </x:c>
      <x:c r="D79" s="25" t="str">
        <x:v>Talkha</x:v>
      </x:c>
      <x:c r="E79" s="25" t="str">
        <x:v>Ali Sayed</x:v>
      </x:c>
      <x:c r="F79" s="25" t="str">
        <x:v>Ali Khalil</x:v>
      </x:c>
      <x:c r="G79" s="25" t="str">
        <x:v>Consumer</x:v>
      </x:c>
      <x:c r="H79" s="25" t="str">
        <x:v>Retail Store</x:v>
      </x:c>
      <x:c r="I79" s="25" t="str">
        <x:v>Home Appliances</x:v>
      </x:c>
      <x:c r="J79" s="25" t="str">
        <x:v>Air Conditioner</x:v>
      </x:c>
      <x:c r="K79" s="25" t="n">
        <x:v>3</x:v>
      </x:c>
      <x:c r="L79" s="26" t="n">
        <x:v>19334</x:v>
      </x:c>
      <x:c r="M79" s="27" t="n">
        <x:v>0.05</x:v>
      </x:c>
      <x:c r="N79" s="26" t="n">
        <x:f>K79*L79</x:f>
        <x:v>58002</x:v>
      </x:c>
      <x:c r="O79" s="26" t="n">
        <x:f>N79*(1-M79)</x:f>
        <x:v>55101.899999999994</x:v>
      </x:c>
      <x:c r="P79" s="26" t="n">
        <x:v>17213</x:v>
      </x:c>
      <x:c r="Q79" s="26" t="n">
        <x:f>K79*P79</x:f>
        <x:v>51639</x:v>
      </x:c>
      <x:c r="R79" s="26" t="n">
        <x:f>O79-Q79</x:f>
        <x:v>3462.899999999994</x:v>
      </x:c>
      <x:c r="S79" s="28" t="n">
        <x:f>IF(O79=0,0,R79/O79)</x:f>
        <x:v>0.06284538282708935</x:v>
      </x:c>
      <x:c r="T79" s="25" t="str">
        <x:v>Debit Card</x:v>
      </x:c>
      <x:c r="U79" s="25" t="str">
        <x:v>Cancelled</x:v>
      </x:c>
      <x:c r="V79" s="29" t="n">
        <x:v>3</x:v>
      </x:c>
    </x:row>
    <x:row r="80">
      <x:c r="A80" s="23" t="str">
        <x:v>MAN-2025-00079</x:v>
      </x:c>
      <x:c r="B80" s="24" t="n">
        <x:v>45976</x:v>
      </x:c>
      <x:c r="C80" s="25" t="str">
        <x:v>Mansoura</x:v>
      </x:c>
      <x:c r="D80" s="25" t="str">
        <x:v>Aga</x:v>
      </x:c>
      <x:c r="E80" s="25" t="str">
        <x:v>Salma Mansour</x:v>
      </x:c>
      <x:c r="F80" s="25" t="str">
        <x:v>Salma Ibrahim</x:v>
      </x:c>
      <x:c r="G80" s="25" t="str">
        <x:v>Corporate</x:v>
      </x:c>
      <x:c r="H80" s="25" t="str">
        <x:v>Mobile App</x:v>
      </x:c>
      <x:c r="I80" s="25" t="str">
        <x:v>Furniture</x:v>
      </x:c>
      <x:c r="J80" s="25" t="str">
        <x:v>Bookshelf</x:v>
      </x:c>
      <x:c r="K80" s="25" t="n">
        <x:v>1</x:v>
      </x:c>
      <x:c r="L80" s="26" t="n">
        <x:v>2940</x:v>
      </x:c>
      <x:c r="M80" s="27" t="n">
        <x:v>0.1</x:v>
      </x:c>
      <x:c r="N80" s="26" t="n">
        <x:f>K80*L80</x:f>
        <x:v>2940</x:v>
      </x:c>
      <x:c r="O80" s="26" t="n">
        <x:f>N80*(1-M80)</x:f>
        <x:v>2646</x:v>
      </x:c>
      <x:c r="P80" s="26" t="n">
        <x:v>2232</x:v>
      </x:c>
      <x:c r="Q80" s="26" t="n">
        <x:f>K80*P80</x:f>
        <x:v>2232</x:v>
      </x:c>
      <x:c r="R80" s="26" t="n">
        <x:f>O80-Q80</x:f>
        <x:v>414</x:v>
      </x:c>
      <x:c r="S80" s="28" t="n">
        <x:f>IF(O80=0,0,R80/O80)</x:f>
        <x:v>0.1564625850340136</x:v>
      </x:c>
      <x:c r="T80" s="25" t="str">
        <x:v>Bank Transfer</x:v>
      </x:c>
      <x:c r="U80" s="25" t="str">
        <x:v>Completed</x:v>
      </x:c>
      <x:c r="V80" s="29" t="n">
        <x:v>5</x:v>
      </x:c>
    </x:row>
    <x:row r="81">
      <x:c r="A81" s="23" t="str">
        <x:v>MAN-2025-00080</x:v>
      </x:c>
      <x:c r="B81" s="24" t="n">
        <x:v>45933</x:v>
      </x:c>
      <x:c r="C81" s="25" t="str">
        <x:v>Mansoura</x:v>
      </x:c>
      <x:c r="D81" s="25" t="str">
        <x:v>Sherbin</x:v>
      </x:c>
      <x:c r="E81" s="25" t="str">
        <x:v>Salma Mansour</x:v>
      </x:c>
      <x:c r="F81" s="25" t="str">
        <x:v>Sara Ibrahim</x:v>
      </x:c>
      <x:c r="G81" s="25" t="str">
        <x:v>Corporate</x:v>
      </x:c>
      <x:c r="H81" s="25" t="str">
        <x:v>Retail Store</x:v>
      </x:c>
      <x:c r="I81" s="25" t="str">
        <x:v>Office Supplies</x:v>
      </x:c>
      <x:c r="J81" s="25" t="str">
        <x:v>Printer</x:v>
      </x:c>
      <x:c r="K81" s="25" t="n">
        <x:v>5</x:v>
      </x:c>
      <x:c r="L81" s="26" t="n">
        <x:v>6926</x:v>
      </x:c>
      <x:c r="M81" s="27" t="n">
        <x:v>0</x:v>
      </x:c>
      <x:c r="N81" s="26" t="n">
        <x:f>K81*L81</x:f>
        <x:v>34630</x:v>
      </x:c>
      <x:c r="O81" s="26" t="n">
        <x:f>N81*(1-M81)</x:f>
        <x:v>34630</x:v>
      </x:c>
      <x:c r="P81" s="26" t="n">
        <x:v>5521</x:v>
      </x:c>
      <x:c r="Q81" s="26" t="n">
        <x:f>K81*P81</x:f>
        <x:v>27605</x:v>
      </x:c>
      <x:c r="R81" s="26" t="n">
        <x:f>O81-Q81</x:f>
        <x:v>7025</x:v>
      </x:c>
      <x:c r="S81" s="28" t="n">
        <x:f>IF(O81=0,0,R81/O81)</x:f>
        <x:v>0.20285879295408604</x:v>
      </x:c>
      <x:c r="T81" s="25" t="str">
        <x:v>Credit Card</x:v>
      </x:c>
      <x:c r="U81" s="25" t="str">
        <x:v>Returned</x:v>
      </x:c>
      <x:c r="V81" s="29" t="n">
        <x:v>4</x:v>
      </x:c>
    </x:row>
    <x:row r="82">
      <x:c r="A82" s="23" t="str">
        <x:v>MAN-2025-00081</x:v>
      </x:c>
      <x:c r="B82" s="24" t="n">
        <x:v>46008</x:v>
      </x:c>
      <x:c r="C82" s="25" t="str">
        <x:v>Mansoura</x:v>
      </x:c>
      <x:c r="D82" s="25" t="str">
        <x:v>Aga</x:v>
      </x:c>
      <x:c r="E82" s="25" t="str">
        <x:v>Aya Farouk</x:v>
      </x:c>
      <x:c r="F82" s="25" t="str">
        <x:v>Mostafa Fathy</x:v>
      </x:c>
      <x:c r="G82" s="25" t="str">
        <x:v>Consumer</x:v>
      </x:c>
      <x:c r="H82" s="25" t="str">
        <x:v>Retail Store</x:v>
      </x:c>
      <x:c r="I82" s="25" t="str">
        <x:v>Electronics</x:v>
      </x:c>
      <x:c r="J82" s="25" t="str">
        <x:v>Tablet</x:v>
      </x:c>
      <x:c r="K82" s="25" t="n">
        <x:v>3</x:v>
      </x:c>
      <x:c r="L82" s="26" t="n">
        <x:v>8944</x:v>
      </x:c>
      <x:c r="M82" s="27" t="n">
        <x:v>0</x:v>
      </x:c>
      <x:c r="N82" s="26" t="n">
        <x:f>K82*L82</x:f>
        <x:v>26832</x:v>
      </x:c>
      <x:c r="O82" s="26" t="n">
        <x:f>N82*(1-M82)</x:f>
        <x:v>26832</x:v>
      </x:c>
      <x:c r="P82" s="26" t="n">
        <x:v>7512</x:v>
      </x:c>
      <x:c r="Q82" s="26" t="n">
        <x:f>K82*P82</x:f>
        <x:v>22536</x:v>
      </x:c>
      <x:c r="R82" s="26" t="n">
        <x:f>O82-Q82</x:f>
        <x:v>4296</x:v>
      </x:c>
      <x:c r="S82" s="28" t="n">
        <x:f>IF(O82=0,0,R82/O82)</x:f>
        <x:v>0.16010733452593917</x:v>
      </x:c>
      <x:c r="T82" s="25" t="str">
        <x:v>Credit Card</x:v>
      </x:c>
      <x:c r="U82" s="25" t="str">
        <x:v>Completed</x:v>
      </x:c>
      <x:c r="V82" s="29" t="n">
        <x:v>5</x:v>
      </x:c>
    </x:row>
    <x:row r="83">
      <x:c r="A83" s="23" t="str">
        <x:v>MAN-2025-00082</x:v>
      </x:c>
      <x:c r="B83" s="24" t="n">
        <x:v>45735</x:v>
      </x:c>
      <x:c r="C83" s="25" t="str">
        <x:v>Mansoura</x:v>
      </x:c>
      <x:c r="D83" s="25" t="str">
        <x:v>Mit Ghamr</x:v>
      </x:c>
      <x:c r="E83" s="25" t="str">
        <x:v>Aya Farouk</x:v>
      </x:c>
      <x:c r="F83" s="25" t="str">
        <x:v>Mariam Khalil</x:v>
      </x:c>
      <x:c r="G83" s="25" t="str">
        <x:v>Consumer</x:v>
      </x:c>
      <x:c r="H83" s="25" t="str">
        <x:v>Website</x:v>
      </x:c>
      <x:c r="I83" s="25" t="str">
        <x:v>Furniture</x:v>
      </x:c>
      <x:c r="J83" s="25" t="str">
        <x:v>Bookshelf</x:v>
      </x:c>
      <x:c r="K83" s="25" t="n">
        <x:v>2</x:v>
      </x:c>
      <x:c r="L83" s="26" t="n">
        <x:v>2932</x:v>
      </x:c>
      <x:c r="M83" s="27" t="n">
        <x:v>0.05</x:v>
      </x:c>
      <x:c r="N83" s="26" t="n">
        <x:f>K83*L83</x:f>
        <x:v>5864</x:v>
      </x:c>
      <x:c r="O83" s="26" t="n">
        <x:f>N83*(1-M83)</x:f>
        <x:v>5570.8</x:v>
      </x:c>
      <x:c r="P83" s="26" t="n">
        <x:v>2249</x:v>
      </x:c>
      <x:c r="Q83" s="26" t="n">
        <x:f>K83*P83</x:f>
        <x:v>4498</x:v>
      </x:c>
      <x:c r="R83" s="26" t="n">
        <x:f>O83-Q83</x:f>
        <x:v>1072.8000000000002</x:v>
      </x:c>
      <x:c r="S83" s="28" t="n">
        <x:f>IF(O83=0,0,R83/O83)</x:f>
        <x:v>0.19257557262870686</x:v>
      </x:c>
      <x:c r="T83" s="25" t="str">
        <x:v>Credit Card</x:v>
      </x:c>
      <x:c r="U83" s="25" t="str">
        <x:v>Cancelled</x:v>
      </x:c>
      <x:c r="V83" s="29" t="n">
        <x:v>4</x:v>
      </x:c>
    </x:row>
    <x:row r="84">
      <x:c r="A84" s="23" t="str">
        <x:v>MAN-2025-00083</x:v>
      </x:c>
      <x:c r="B84" s="24" t="n">
        <x:v>45771</x:v>
      </x:c>
      <x:c r="C84" s="25" t="str">
        <x:v>Mansoura</x:v>
      </x:c>
      <x:c r="D84" s="25" t="str">
        <x:v>Sherbin</x:v>
      </x:c>
      <x:c r="E84" s="25" t="str">
        <x:v>Youssef Fathy</x:v>
      </x:c>
      <x:c r="F84" s="25" t="str">
        <x:v>Hana Nasser</x:v>
      </x:c>
      <x:c r="G84" s="25" t="str">
        <x:v>Small Business</x:v>
      </x:c>
      <x:c r="H84" s="25" t="str">
        <x:v>Website</x:v>
      </x:c>
      <x:c r="I84" s="25" t="str">
        <x:v>Furniture</x:v>
      </x:c>
      <x:c r="J84" s="25" t="str">
        <x:v>Office Chair</x:v>
      </x:c>
      <x:c r="K84" s="25" t="n">
        <x:v>5</x:v>
      </x:c>
      <x:c r="L84" s="26" t="n">
        <x:v>4066</x:v>
      </x:c>
      <x:c r="M84" s="27" t="n">
        <x:v>0.1</x:v>
      </x:c>
      <x:c r="N84" s="26" t="n">
        <x:f>K84*L84</x:f>
        <x:v>20330</x:v>
      </x:c>
      <x:c r="O84" s="26" t="n">
        <x:f>N84*(1-M84)</x:f>
        <x:v>18297</x:v>
      </x:c>
      <x:c r="P84" s="26" t="n">
        <x:v>2795</x:v>
      </x:c>
      <x:c r="Q84" s="26" t="n">
        <x:f>K84*P84</x:f>
        <x:v>13975</x:v>
      </x:c>
      <x:c r="R84" s="26" t="n">
        <x:f>O84-Q84</x:f>
        <x:v>4322</x:v>
      </x:c>
      <x:c r="S84" s="28" t="n">
        <x:f>IF(O84=0,0,R84/O84)</x:f>
        <x:v>0.2362135869268186</x:v>
      </x:c>
      <x:c r="T84" s="25" t="str">
        <x:v>Cash</x:v>
      </x:c>
      <x:c r="U84" s="25" t="str">
        <x:v>Completed</x:v>
      </x:c>
      <x:c r="V84" s="29" t="n">
        <x:v>4</x:v>
      </x:c>
    </x:row>
    <x:row r="85">
      <x:c r="A85" s="23" t="str">
        <x:v>MAN-2025-00084</x:v>
      </x:c>
      <x:c r="B85" s="24" t="n">
        <x:v>45974</x:v>
      </x:c>
      <x:c r="C85" s="25" t="str">
        <x:v>Mansoura</x:v>
      </x:c>
      <x:c r="D85" s="25" t="str">
        <x:v>Mansoura City</x:v>
      </x:c>
      <x:c r="E85" s="25" t="str">
        <x:v>Salma Mansour</x:v>
      </x:c>
      <x:c r="F85" s="25" t="str">
        <x:v>Aya Hassan</x:v>
      </x:c>
      <x:c r="G85" s="25" t="str">
        <x:v>Consumer</x:v>
      </x:c>
      <x:c r="H85" s="25" t="str">
        <x:v>Mobile App</x:v>
      </x:c>
      <x:c r="I85" s="25" t="str">
        <x:v>Office Supplies</x:v>
      </x:c>
      <x:c r="J85" s="25" t="str">
        <x:v>Paper Box</x:v>
      </x:c>
      <x:c r="K85" s="25" t="n">
        <x:v>4</x:v>
      </x:c>
      <x:c r="L85" s="26" t="n">
        <x:v>364</x:v>
      </x:c>
      <x:c r="M85" s="27" t="n">
        <x:v>0</x:v>
      </x:c>
      <x:c r="N85" s="26" t="n">
        <x:f>K85*L85</x:f>
        <x:v>1456</x:v>
      </x:c>
      <x:c r="O85" s="26" t="n">
        <x:f>N85*(1-M85)</x:f>
        <x:v>1456</x:v>
      </x:c>
      <x:c r="P85" s="26" t="n">
        <x:v>264</x:v>
      </x:c>
      <x:c r="Q85" s="26" t="n">
        <x:f>K85*P85</x:f>
        <x:v>1056</x:v>
      </x:c>
      <x:c r="R85" s="26" t="n">
        <x:f>O85-Q85</x:f>
        <x:v>400</x:v>
      </x:c>
      <x:c r="S85" s="28" t="n">
        <x:f>IF(O85=0,0,R85/O85)</x:f>
        <x:v>0.27472527472527475</x:v>
      </x:c>
      <x:c r="T85" s="25" t="str">
        <x:v>Debit Card</x:v>
      </x:c>
      <x:c r="U85" s="25" t="str">
        <x:v>Completed</x:v>
      </x:c>
      <x:c r="V85" s="29" t="n">
        <x:v>5</x:v>
      </x:c>
    </x:row>
    <x:row r="86">
      <x:c r="A86" s="23" t="str">
        <x:v>MAN-2025-00085</x:v>
      </x:c>
      <x:c r="B86" s="24" t="n">
        <x:v>45922</x:v>
      </x:c>
      <x:c r="C86" s="25" t="str">
        <x:v>Mansoura</x:v>
      </x:c>
      <x:c r="D86" s="25" t="str">
        <x:v>Aga</x:v>
      </x:c>
      <x:c r="E86" s="25" t="str">
        <x:v>Youssef Fathy</x:v>
      </x:c>
      <x:c r="F86" s="25" t="str">
        <x:v>Amr Mansour</x:v>
      </x:c>
      <x:c r="G86" s="25" t="str">
        <x:v>Consumer</x:v>
      </x:c>
      <x:c r="H86" s="25" t="str">
        <x:v>Retail Store</x:v>
      </x:c>
      <x:c r="I86" s="25" t="str">
        <x:v>Home Appliances</x:v>
      </x:c>
      <x:c r="J86" s="25" t="str">
        <x:v>Microwave</x:v>
      </x:c>
      <x:c r="K86" s="25" t="n">
        <x:v>1</x:v>
      </x:c>
      <x:c r="L86" s="26" t="n">
        <x:v>5655</x:v>
      </x:c>
      <x:c r="M86" s="27" t="n">
        <x:v>0.1</x:v>
      </x:c>
      <x:c r="N86" s="26" t="n">
        <x:f>K86*L86</x:f>
        <x:v>5655</x:v>
      </x:c>
      <x:c r="O86" s="26" t="n">
        <x:f>N86*(1-M86)</x:f>
        <x:v>5089.5</x:v>
      </x:c>
      <x:c r="P86" s="26" t="n">
        <x:v>4466</x:v>
      </x:c>
      <x:c r="Q86" s="26" t="n">
        <x:f>K86*P86</x:f>
        <x:v>4466</x:v>
      </x:c>
      <x:c r="R86" s="26" t="n">
        <x:f>O86-Q86</x:f>
        <x:v>623.5</x:v>
      </x:c>
      <x:c r="S86" s="28" t="n">
        <x:f>IF(O86=0,0,R86/O86)</x:f>
        <x:v>0.1225071225071225</x:v>
      </x:c>
      <x:c r="T86" s="25" t="str">
        <x:v>Credit Card</x:v>
      </x:c>
      <x:c r="U86" s="25" t="str">
        <x:v>Returned</x:v>
      </x:c>
      <x:c r="V86" s="29" t="n">
        <x:v>4</x:v>
      </x:c>
    </x:row>
    <x:row r="87">
      <x:c r="A87" s="23" t="str">
        <x:v>MAN-2025-00086</x:v>
      </x:c>
      <x:c r="B87" s="24" t="n">
        <x:v>45901</x:v>
      </x:c>
      <x:c r="C87" s="25" t="str">
        <x:v>Mansoura</x:v>
      </x:c>
      <x:c r="D87" s="25" t="str">
        <x:v>Mansoura City</x:v>
      </x:c>
      <x:c r="E87" s="25" t="str">
        <x:v>Youssef Fathy</x:v>
      </x:c>
      <x:c r="F87" s="25" t="str">
        <x:v>Youssef Hassan</x:v>
      </x:c>
      <x:c r="G87" s="25" t="str">
        <x:v>Consumer</x:v>
      </x:c>
      <x:c r="H87" s="25" t="str">
        <x:v>Retail Store</x:v>
      </x:c>
      <x:c r="I87" s="25" t="str">
        <x:v>Electronics</x:v>
      </x:c>
      <x:c r="J87" s="25" t="str">
        <x:v>Smartphone</x:v>
      </x:c>
      <x:c r="K87" s="25" t="n">
        <x:v>5</x:v>
      </x:c>
      <x:c r="L87" s="26" t="n">
        <x:v>13620</x:v>
      </x:c>
      <x:c r="M87" s="27" t="n">
        <x:v>0</x:v>
      </x:c>
      <x:c r="N87" s="26" t="n">
        <x:f>K87*L87</x:f>
        <x:v>68100</x:v>
      </x:c>
      <x:c r="O87" s="26" t="n">
        <x:f>N87*(1-M87)</x:f>
        <x:v>68100</x:v>
      </x:c>
      <x:c r="P87" s="26" t="n">
        <x:v>10937</x:v>
      </x:c>
      <x:c r="Q87" s="26" t="n">
        <x:f>K87*P87</x:f>
        <x:v>54685</x:v>
      </x:c>
      <x:c r="R87" s="26" t="n">
        <x:f>O87-Q87</x:f>
        <x:v>13415</x:v>
      </x:c>
      <x:c r="S87" s="28" t="n">
        <x:f>IF(O87=0,0,R87/O87)</x:f>
        <x:v>0.19698972099853157</x:v>
      </x:c>
      <x:c r="T87" s="25" t="str">
        <x:v>Digital Wallet</x:v>
      </x:c>
      <x:c r="U87" s="25" t="str">
        <x:v>Completed</x:v>
      </x:c>
      <x:c r="V87" s="29" t="n">
        <x:v>5</x:v>
      </x:c>
    </x:row>
    <x:row r="88">
      <x:c r="A88" s="23" t="str">
        <x:v>MAN-2025-00087</x:v>
      </x:c>
      <x:c r="B88" s="24" t="n">
        <x:v>45993</x:v>
      </x:c>
      <x:c r="C88" s="25" t="str">
        <x:v>Mansoura</x:v>
      </x:c>
      <x:c r="D88" s="25" t="str">
        <x:v>Aga</x:v>
      </x:c>
      <x:c r="E88" s="25" t="str">
        <x:v>Aya Farouk</x:v>
      </x:c>
      <x:c r="F88" s="25" t="str">
        <x:v>Sara Mansour</x:v>
      </x:c>
      <x:c r="G88" s="25" t="str">
        <x:v>Corporate</x:v>
      </x:c>
      <x:c r="H88" s="25" t="str">
        <x:v>Website</x:v>
      </x:c>
      <x:c r="I88" s="25" t="str">
        <x:v>Furniture</x:v>
      </x:c>
      <x:c r="J88" s="25" t="str">
        <x:v>Bookshelf</x:v>
      </x:c>
      <x:c r="K88" s="25" t="n">
        <x:v>1</x:v>
      </x:c>
      <x:c r="L88" s="26" t="n">
        <x:v>2943</x:v>
      </x:c>
      <x:c r="M88" s="27" t="n">
        <x:v>0.05</x:v>
      </x:c>
      <x:c r="N88" s="26" t="n">
        <x:f>K88*L88</x:f>
        <x:v>2943</x:v>
      </x:c>
      <x:c r="O88" s="26" t="n">
        <x:f>N88*(1-M88)</x:f>
        <x:v>2795.85</x:v>
      </x:c>
      <x:c r="P88" s="26" t="n">
        <x:v>2246</x:v>
      </x:c>
      <x:c r="Q88" s="26" t="n">
        <x:f>K88*P88</x:f>
        <x:v>2246</x:v>
      </x:c>
      <x:c r="R88" s="26" t="n">
        <x:f>O88-Q88</x:f>
        <x:v>549.8499999999999</x:v>
      </x:c>
      <x:c r="S88" s="28" t="n">
        <x:f>IF(O88=0,0,R88/O88)</x:f>
        <x:v>0.19666648783017684</x:v>
      </x:c>
      <x:c r="T88" s="25" t="str">
        <x:v>Bank Transfer</x:v>
      </x:c>
      <x:c r="U88" s="25" t="str">
        <x:v>Completed</x:v>
      </x:c>
      <x:c r="V88" s="29" t="n">
        <x:v>5</x:v>
      </x:c>
    </x:row>
    <x:row r="89">
      <x:c r="A89" s="23" t="str">
        <x:v>MAN-2025-00088</x:v>
      </x:c>
      <x:c r="B89" s="24" t="n">
        <x:v>45661</x:v>
      </x:c>
      <x:c r="C89" s="25" t="str">
        <x:v>Mansoura</x:v>
      </x:c>
      <x:c r="D89" s="25" t="str">
        <x:v>Sherbin</x:v>
      </x:c>
      <x:c r="E89" s="25" t="str">
        <x:v>Youssef Fathy</x:v>
      </x:c>
      <x:c r="F89" s="25" t="str">
        <x:v>Mariam Samir</x:v>
      </x:c>
      <x:c r="G89" s="25" t="str">
        <x:v>Consumer</x:v>
      </x:c>
      <x:c r="H89" s="25" t="str">
        <x:v>Website</x:v>
      </x:c>
      <x:c r="I89" s="25" t="str">
        <x:v>Furniture</x:v>
      </x:c>
      <x:c r="J89" s="25" t="str">
        <x:v>Sofa</x:v>
      </x:c>
      <x:c r="K89" s="25" t="n">
        <x:v>3</x:v>
      </x:c>
      <x:c r="L89" s="26" t="n">
        <x:v>12480</x:v>
      </x:c>
      <x:c r="M89" s="27" t="n">
        <x:v>0.05</x:v>
      </x:c>
      <x:c r="N89" s="26" t="n">
        <x:f>K89*L89</x:f>
        <x:v>37440</x:v>
      </x:c>
      <x:c r="O89" s="26" t="n">
        <x:f>N89*(1-M89)</x:f>
        <x:v>35568</x:v>
      </x:c>
      <x:c r="P89" s="26" t="n">
        <x:v>10547</x:v>
      </x:c>
      <x:c r="Q89" s="26" t="n">
        <x:f>K89*P89</x:f>
        <x:v>31641</x:v>
      </x:c>
      <x:c r="R89" s="26" t="n">
        <x:f>O89-Q89</x:f>
        <x:v>3927</x:v>
      </x:c>
      <x:c r="S89" s="28" t="n">
        <x:f>IF(O89=0,0,R89/O89)</x:f>
        <x:v>0.11040823211875843</x:v>
      </x:c>
      <x:c r="T89" s="25" t="str">
        <x:v>Bank Transfer</x:v>
      </x:c>
      <x:c r="U89" s="25" t="str">
        <x:v>Returned</x:v>
      </x:c>
      <x:c r="V89" s="29" t="n">
        <x:v>5</x:v>
      </x:c>
    </x:row>
    <x:row r="90">
      <x:c r="A90" s="23" t="str">
        <x:v>MAN-2025-00089</x:v>
      </x:c>
      <x:c r="B90" s="24" t="n">
        <x:v>45742</x:v>
      </x:c>
      <x:c r="C90" s="25" t="str">
        <x:v>Mansoura</x:v>
      </x:c>
      <x:c r="D90" s="25" t="str">
        <x:v>Aga</x:v>
      </x:c>
      <x:c r="E90" s="25" t="str">
        <x:v>Salma Mansour</x:v>
      </x:c>
      <x:c r="F90" s="25" t="str">
        <x:v>Farah Ibrahim</x:v>
      </x:c>
      <x:c r="G90" s="25" t="str">
        <x:v>Consumer</x:v>
      </x:c>
      <x:c r="H90" s="25" t="str">
        <x:v>Website</x:v>
      </x:c>
      <x:c r="I90" s="25" t="str">
        <x:v>Furniture</x:v>
      </x:c>
      <x:c r="J90" s="25" t="str">
        <x:v>Sofa</x:v>
      </x:c>
      <x:c r="K90" s="25" t="n">
        <x:v>2</x:v>
      </x:c>
      <x:c r="L90" s="26" t="n">
        <x:v>13964</x:v>
      </x:c>
      <x:c r="M90" s="27" t="n">
        <x:v>0.1</x:v>
      </x:c>
      <x:c r="N90" s="26" t="n">
        <x:f>K90*L90</x:f>
        <x:v>27928</x:v>
      </x:c>
      <x:c r="O90" s="26" t="n">
        <x:f>N90*(1-M90)</x:f>
        <x:v>25135.2</x:v>
      </x:c>
      <x:c r="P90" s="26" t="n">
        <x:v>10610</x:v>
      </x:c>
      <x:c r="Q90" s="26" t="n">
        <x:f>K90*P90</x:f>
        <x:v>21220</x:v>
      </x:c>
      <x:c r="R90" s="26" t="n">
        <x:f>O90-Q90</x:f>
        <x:v>3915.2000000000007</x:v>
      </x:c>
      <x:c r="S90" s="28" t="n">
        <x:f>IF(O90=0,0,R90/O90)</x:f>
        <x:v>0.15576561952958404</x:v>
      </x:c>
      <x:c r="T90" s="25" t="str">
        <x:v>Debit Card</x:v>
      </x:c>
      <x:c r="U90" s="25" t="str">
        <x:v>Completed</x:v>
      </x:c>
      <x:c r="V90" s="29" t="n">
        <x:v>3</x:v>
      </x:c>
    </x:row>
    <x:row r="91">
      <x:c r="A91" s="23" t="str">
        <x:v>MAN-2025-00090</x:v>
      </x:c>
      <x:c r="B91" s="24" t="n">
        <x:v>45702</x:v>
      </x:c>
      <x:c r="C91" s="25" t="str">
        <x:v>Mansoura</x:v>
      </x:c>
      <x:c r="D91" s="25" t="str">
        <x:v>Mansoura City</x:v>
      </x:c>
      <x:c r="E91" s="25" t="str">
        <x:v>Aya Farouk</x:v>
      </x:c>
      <x:c r="F91" s="25" t="str">
        <x:v>Farah Samir</x:v>
      </x:c>
      <x:c r="G91" s="25" t="str">
        <x:v>Corporate</x:v>
      </x:c>
      <x:c r="H91" s="25" t="str">
        <x:v>Mobile App</x:v>
      </x:c>
      <x:c r="I91" s="25" t="str">
        <x:v>Electronics</x:v>
      </x:c>
      <x:c r="J91" s="25" t="str">
        <x:v>Headphones</x:v>
      </x:c>
      <x:c r="K91" s="25" t="n">
        <x:v>1</x:v>
      </x:c>
      <x:c r="L91" s="26" t="n">
        <x:v>1600</x:v>
      </x:c>
      <x:c r="M91" s="27" t="n">
        <x:v>0.15</x:v>
      </x:c>
      <x:c r="N91" s="26" t="n">
        <x:f>K91*L91</x:f>
        <x:v>1600</x:v>
      </x:c>
      <x:c r="O91" s="26" t="n">
        <x:f>N91*(1-M91)</x:f>
        <x:v>1360</x:v>
      </x:c>
      <x:c r="P91" s="26" t="n">
        <x:v>1124</x:v>
      </x:c>
      <x:c r="Q91" s="26" t="n">
        <x:f>K91*P91</x:f>
        <x:v>1124</x:v>
      </x:c>
      <x:c r="R91" s="26" t="n">
        <x:f>O91-Q91</x:f>
        <x:v>236</x:v>
      </x:c>
      <x:c r="S91" s="28" t="n">
        <x:f>IF(O91=0,0,R91/O91)</x:f>
        <x:v>0.17352941176470588</x:v>
      </x:c>
      <x:c r="T91" s="25" t="str">
        <x:v>Bank Transfer</x:v>
      </x:c>
      <x:c r="U91" s="25" t="str">
        <x:v>Returned</x:v>
      </x:c>
      <x:c r="V91" s="29" t="n">
        <x:v>5</x:v>
      </x:c>
    </x:row>
    <x:row r="92">
      <x:c r="A92" s="23" t="str">
        <x:v>MAN-2025-00091</x:v>
      </x:c>
      <x:c r="B92" s="24" t="n">
        <x:v>45976</x:v>
      </x:c>
      <x:c r="C92" s="25" t="str">
        <x:v>Mansoura</x:v>
      </x:c>
      <x:c r="D92" s="25" t="str">
        <x:v>Mansoura City</x:v>
      </x:c>
      <x:c r="E92" s="25" t="str">
        <x:v>Salma Mansour</x:v>
      </x:c>
      <x:c r="F92" s="25" t="str">
        <x:v>Ahmed Adel</x:v>
      </x:c>
      <x:c r="G92" s="25" t="str">
        <x:v>Small Business</x:v>
      </x:c>
      <x:c r="H92" s="25" t="str">
        <x:v>Website</x:v>
      </x:c>
      <x:c r="I92" s="25" t="str">
        <x:v>Electronics</x:v>
      </x:c>
      <x:c r="J92" s="25" t="str">
        <x:v>Laptop</x:v>
      </x:c>
      <x:c r="K92" s="25" t="n">
        <x:v>1</x:v>
      </x:c>
      <x:c r="L92" s="26" t="n">
        <x:v>23207</x:v>
      </x:c>
      <x:c r="M92" s="27" t="n">
        <x:v>0</x:v>
      </x:c>
      <x:c r="N92" s="26" t="n">
        <x:f>K92*L92</x:f>
        <x:v>23207</x:v>
      </x:c>
      <x:c r="O92" s="26" t="n">
        <x:f>N92*(1-M92)</x:f>
        <x:v>23207</x:v>
      </x:c>
      <x:c r="P92" s="26" t="n">
        <x:v>21125</x:v>
      </x:c>
      <x:c r="Q92" s="26" t="n">
        <x:f>K92*P92</x:f>
        <x:v>21125</x:v>
      </x:c>
      <x:c r="R92" s="26" t="n">
        <x:f>O92-Q92</x:f>
        <x:v>2082</x:v>
      </x:c>
      <x:c r="S92" s="28" t="n">
        <x:f>IF(O92=0,0,R92/O92)</x:f>
        <x:v>0.0897143103373982</x:v>
      </x:c>
      <x:c r="T92" s="25" t="str">
        <x:v>Credit Card</x:v>
      </x:c>
      <x:c r="U92" s="25" t="str">
        <x:v>Completed</x:v>
      </x:c>
      <x:c r="V92" s="29" t="n">
        <x:v>5</x:v>
      </x:c>
    </x:row>
    <x:row r="93">
      <x:c r="A93" s="23" t="str">
        <x:v>MAN-2025-00092</x:v>
      </x:c>
      <x:c r="B93" s="24" t="n">
        <x:v>46022</x:v>
      </x:c>
      <x:c r="C93" s="25" t="str">
        <x:v>Mansoura</x:v>
      </x:c>
      <x:c r="D93" s="25" t="str">
        <x:v>Sherbin</x:v>
      </x:c>
      <x:c r="E93" s="25" t="str">
        <x:v>Aya Farouk</x:v>
      </x:c>
      <x:c r="F93" s="25" t="str">
        <x:v>Mostafa Mansour</x:v>
      </x:c>
      <x:c r="G93" s="25" t="str">
        <x:v>Consumer</x:v>
      </x:c>
      <x:c r="H93" s="25" t="str">
        <x:v>Phone Order</x:v>
      </x:c>
      <x:c r="I93" s="25" t="str">
        <x:v>Home Appliances</x:v>
      </x:c>
      <x:c r="J93" s="25" t="str">
        <x:v>Blender</x:v>
      </x:c>
      <x:c r="K93" s="25" t="n">
        <x:v>1</x:v>
      </x:c>
      <x:c r="L93" s="26" t="n">
        <x:v>1666</x:v>
      </x:c>
      <x:c r="M93" s="27" t="n">
        <x:v>0.15</x:v>
      </x:c>
      <x:c r="N93" s="26" t="n">
        <x:f>K93*L93</x:f>
        <x:v>1666</x:v>
      </x:c>
      <x:c r="O93" s="26" t="n">
        <x:f>N93*(1-M93)</x:f>
        <x:v>1416.1</x:v>
      </x:c>
      <x:c r="P93" s="26" t="n">
        <x:v>1270</x:v>
      </x:c>
      <x:c r="Q93" s="26" t="n">
        <x:f>K93*P93</x:f>
        <x:v>1270</x:v>
      </x:c>
      <x:c r="R93" s="26" t="n">
        <x:f>O93-Q93</x:f>
        <x:v>146.0999999999999</x:v>
      </x:c>
      <x:c r="S93" s="28" t="n">
        <x:f>IF(O93=0,0,R93/O93)</x:f>
        <x:v>0.10317068003672052</x:v>
      </x:c>
      <x:c r="T93" s="25" t="str">
        <x:v>Cash</x:v>
      </x:c>
      <x:c r="U93" s="25" t="str">
        <x:v>Completed</x:v>
      </x:c>
      <x:c r="V93" s="29" t="n">
        <x:v>5</x:v>
      </x:c>
    </x:row>
    <x:row r="94">
      <x:c r="A94" s="23" t="str">
        <x:v>MAN-2025-00093</x:v>
      </x:c>
      <x:c r="B94" s="24" t="n">
        <x:v>46005</x:v>
      </x:c>
      <x:c r="C94" s="25" t="str">
        <x:v>Mansoura</x:v>
      </x:c>
      <x:c r="D94" s="25" t="str">
        <x:v>Sherbin</x:v>
      </x:c>
      <x:c r="E94" s="25" t="str">
        <x:v>Salma Mansour</x:v>
      </x:c>
      <x:c r="F94" s="25" t="str">
        <x:v>Mariam Khalil</x:v>
      </x:c>
      <x:c r="G94" s="25" t="str">
        <x:v>Corporate</x:v>
      </x:c>
      <x:c r="H94" s="25" t="str">
        <x:v>Retail Store</x:v>
      </x:c>
      <x:c r="I94" s="25" t="str">
        <x:v>Home Appliances</x:v>
      </x:c>
      <x:c r="J94" s="25" t="str">
        <x:v>Air Conditioner</x:v>
      </x:c>
      <x:c r="K94" s="25" t="n">
        <x:v>3</x:v>
      </x:c>
      <x:c r="L94" s="26" t="n">
        <x:v>21269</x:v>
      </x:c>
      <x:c r="M94" s="27" t="n">
        <x:v>0</x:v>
      </x:c>
      <x:c r="N94" s="26" t="n">
        <x:f>K94*L94</x:f>
        <x:v>63807</x:v>
      </x:c>
      <x:c r="O94" s="26" t="n">
        <x:f>N94*(1-M94)</x:f>
        <x:v>63807</x:v>
      </x:c>
      <x:c r="P94" s="26" t="n">
        <x:v>18295</x:v>
      </x:c>
      <x:c r="Q94" s="26" t="n">
        <x:f>K94*P94</x:f>
        <x:v>54885</x:v>
      </x:c>
      <x:c r="R94" s="26" t="n">
        <x:f>O94-Q94</x:f>
        <x:v>8922</x:v>
      </x:c>
      <x:c r="S94" s="28" t="n">
        <x:f>IF(O94=0,0,R94/O94)</x:f>
        <x:v>0.1398279185669284</x:v>
      </x:c>
      <x:c r="T94" s="25" t="str">
        <x:v>Credit Card</x:v>
      </x:c>
      <x:c r="U94" s="25" t="str">
        <x:v>Returned</x:v>
      </x:c>
      <x:c r="V94" s="29" t="n">
        <x:v>5</x:v>
      </x:c>
    </x:row>
    <x:row r="95">
      <x:c r="A95" s="23" t="str">
        <x:v>MAN-2025-00094</x:v>
      </x:c>
      <x:c r="B95" s="24" t="n">
        <x:v>45802</x:v>
      </x:c>
      <x:c r="C95" s="25" t="str">
        <x:v>Mansoura</x:v>
      </x:c>
      <x:c r="D95" s="25" t="str">
        <x:v>Sherbin</x:v>
      </x:c>
      <x:c r="E95" s="25" t="str">
        <x:v>Salma Mansour</x:v>
      </x:c>
      <x:c r="F95" s="25" t="str">
        <x:v>Amr Nasser</x:v>
      </x:c>
      <x:c r="G95" s="25" t="str">
        <x:v>Consumer</x:v>
      </x:c>
      <x:c r="H95" s="25" t="str">
        <x:v>Retail Store</x:v>
      </x:c>
      <x:c r="I95" s="25" t="str">
        <x:v>Office Supplies</x:v>
      </x:c>
      <x:c r="J95" s="25" t="str">
        <x:v>Ink Cartridge</x:v>
      </x:c>
      <x:c r="K95" s="25" t="n">
        <x:v>5</x:v>
      </x:c>
      <x:c r="L95" s="26" t="n">
        <x:v>877</x:v>
      </x:c>
      <x:c r="M95" s="27" t="n">
        <x:v>0</x:v>
      </x:c>
      <x:c r="N95" s="26" t="n">
        <x:f>K95*L95</x:f>
        <x:v>4385</x:v>
      </x:c>
      <x:c r="O95" s="26" t="n">
        <x:f>N95*(1-M95)</x:f>
        <x:v>4385</x:v>
      </x:c>
      <x:c r="P95" s="26" t="n">
        <x:v>587</x:v>
      </x:c>
      <x:c r="Q95" s="26" t="n">
        <x:f>K95*P95</x:f>
        <x:v>2935</x:v>
      </x:c>
      <x:c r="R95" s="26" t="n">
        <x:f>O95-Q95</x:f>
        <x:v>1450</x:v>
      </x:c>
      <x:c r="S95" s="28" t="n">
        <x:f>IF(O95=0,0,R95/O95)</x:f>
        <x:v>0.330672748004561</x:v>
      </x:c>
      <x:c r="T95" s="25" t="str">
        <x:v>Digital Wallet</x:v>
      </x:c>
      <x:c r="U95" s="25" t="str">
        <x:v>Cancelled</x:v>
      </x:c>
      <x:c r="V95" s="29" t="n">
        <x:v>5</x:v>
      </x:c>
    </x:row>
    <x:row r="96">
      <x:c r="A96" s="23" t="str">
        <x:v>MAN-2025-00095</x:v>
      </x:c>
      <x:c r="B96" s="24" t="n">
        <x:v>45948</x:v>
      </x:c>
      <x:c r="C96" s="25" t="str">
        <x:v>Mansoura</x:v>
      </x:c>
      <x:c r="D96" s="25" t="str">
        <x:v>Mit Ghamr</x:v>
      </x:c>
      <x:c r="E96" s="25" t="str">
        <x:v>Aya Farouk</x:v>
      </x:c>
      <x:c r="F96" s="25" t="str">
        <x:v>Mahmoud Hassan</x:v>
      </x:c>
      <x:c r="G96" s="25" t="str">
        <x:v>Consumer</x:v>
      </x:c>
      <x:c r="H96" s="25" t="str">
        <x:v>Phone Order</x:v>
      </x:c>
      <x:c r="I96" s="25" t="str">
        <x:v>Furniture</x:v>
      </x:c>
      <x:c r="J96" s="25" t="str">
        <x:v>Desk</x:v>
      </x:c>
      <x:c r="K96" s="25" t="n">
        <x:v>6</x:v>
      </x:c>
      <x:c r="L96" s="26" t="n">
        <x:v>5027</x:v>
      </x:c>
      <x:c r="M96" s="27" t="n">
        <x:v>0</x:v>
      </x:c>
      <x:c r="N96" s="26" t="n">
        <x:f>K96*L96</x:f>
        <x:v>30162</x:v>
      </x:c>
      <x:c r="O96" s="26" t="n">
        <x:f>N96*(1-M96)</x:f>
        <x:v>30162</x:v>
      </x:c>
      <x:c r="P96" s="26" t="n">
        <x:v>3945</x:v>
      </x:c>
      <x:c r="Q96" s="26" t="n">
        <x:f>K96*P96</x:f>
        <x:v>23670</x:v>
      </x:c>
      <x:c r="R96" s="26" t="n">
        <x:f>O96-Q96</x:f>
        <x:v>6492</x:v>
      </x:c>
      <x:c r="S96" s="28" t="n">
        <x:f>IF(O96=0,0,R96/O96)</x:f>
        <x:v>0.21523771633180824</x:v>
      </x:c>
      <x:c r="T96" s="25" t="str">
        <x:v>Cash</x:v>
      </x:c>
      <x:c r="U96" s="25" t="str">
        <x:v>Cancelled</x:v>
      </x:c>
      <x:c r="V96" s="29" t="n">
        <x:v>3</x:v>
      </x:c>
    </x:row>
    <x:row r="97">
      <x:c r="A97" s="23" t="str">
        <x:v>MAN-2025-00096</x:v>
      </x:c>
      <x:c r="B97" s="24" t="n">
        <x:v>45914</x:v>
      </x:c>
      <x:c r="C97" s="25" t="str">
        <x:v>Mansoura</x:v>
      </x:c>
      <x:c r="D97" s="25" t="str">
        <x:v>Aga</x:v>
      </x:c>
      <x:c r="E97" s="25" t="str">
        <x:v>Youssef Fathy</x:v>
      </x:c>
      <x:c r="F97" s="25" t="str">
        <x:v>Hana Ibrahim</x:v>
      </x:c>
      <x:c r="G97" s="25" t="str">
        <x:v>Small Business</x:v>
      </x:c>
      <x:c r="H97" s="25" t="str">
        <x:v>Retail Store</x:v>
      </x:c>
      <x:c r="I97" s="25" t="str">
        <x:v>Office Supplies</x:v>
      </x:c>
      <x:c r="J97" s="25" t="str">
        <x:v>Printer</x:v>
      </x:c>
      <x:c r="K97" s="25" t="n">
        <x:v>3</x:v>
      </x:c>
      <x:c r="L97" s="26" t="n">
        <x:v>6500</x:v>
      </x:c>
      <x:c r="M97" s="27" t="n">
        <x:v>0.05</x:v>
      </x:c>
      <x:c r="N97" s="26" t="n">
        <x:f>K97*L97</x:f>
        <x:v>19500</x:v>
      </x:c>
      <x:c r="O97" s="26" t="n">
        <x:f>N97*(1-M97)</x:f>
        <x:v>18525</x:v>
      </x:c>
      <x:c r="P97" s="26" t="n">
        <x:v>5460</x:v>
      </x:c>
      <x:c r="Q97" s="26" t="n">
        <x:f>K97*P97</x:f>
        <x:v>16380</x:v>
      </x:c>
      <x:c r="R97" s="26" t="n">
        <x:f>O97-Q97</x:f>
        <x:v>2145</x:v>
      </x:c>
      <x:c r="S97" s="28" t="n">
        <x:f>IF(O97=0,0,R97/O97)</x:f>
        <x:v>0.11578947368421053</x:v>
      </x:c>
      <x:c r="T97" s="25" t="str">
        <x:v>Cash</x:v>
      </x:c>
      <x:c r="U97" s="25" t="str">
        <x:v>Cancelled</x:v>
      </x:c>
      <x:c r="V97" s="29" t="n">
        <x:v>5</x:v>
      </x:c>
    </x:row>
    <x:row r="98">
      <x:c r="A98" s="23" t="str">
        <x:v>MAN-2025-00097</x:v>
      </x:c>
      <x:c r="B98" s="24" t="n">
        <x:v>45866</x:v>
      </x:c>
      <x:c r="C98" s="25" t="str">
        <x:v>Mansoura</x:v>
      </x:c>
      <x:c r="D98" s="25" t="str">
        <x:v>Mansoura City</x:v>
      </x:c>
      <x:c r="E98" s="25" t="str">
        <x:v>Ali Sayed</x:v>
      </x:c>
      <x:c r="F98" s="25" t="str">
        <x:v>Farah Fathy</x:v>
      </x:c>
      <x:c r="G98" s="25" t="str">
        <x:v>Small Business</x:v>
      </x:c>
      <x:c r="H98" s="25" t="str">
        <x:v>Website</x:v>
      </x:c>
      <x:c r="I98" s="25" t="str">
        <x:v>Office Supplies</x:v>
      </x:c>
      <x:c r="J98" s="25" t="str">
        <x:v>Paper Box</x:v>
      </x:c>
      <x:c r="K98" s="25" t="n">
        <x:v>2</x:v>
      </x:c>
      <x:c r="L98" s="26" t="n">
        <x:v>352</x:v>
      </x:c>
      <x:c r="M98" s="27" t="n">
        <x:v>0.15</x:v>
      </x:c>
      <x:c r="N98" s="26" t="n">
        <x:f>K98*L98</x:f>
        <x:v>704</x:v>
      </x:c>
      <x:c r="O98" s="26" t="n">
        <x:f>N98*(1-M98)</x:f>
        <x:v>598.4</x:v>
      </x:c>
      <x:c r="P98" s="26" t="n">
        <x:v>265</x:v>
      </x:c>
      <x:c r="Q98" s="26" t="n">
        <x:f>K98*P98</x:f>
        <x:v>530</x:v>
      </x:c>
      <x:c r="R98" s="26" t="n">
        <x:f>O98-Q98</x:f>
        <x:v>68.39999999999998</x:v>
      </x:c>
      <x:c r="S98" s="28" t="n">
        <x:f>IF(O98=0,0,R98/O98)</x:f>
        <x:v>0.11430481283422457</x:v>
      </x:c>
      <x:c r="T98" s="25" t="str">
        <x:v>Digital Wallet</x:v>
      </x:c>
      <x:c r="U98" s="25" t="str">
        <x:v>Returned</x:v>
      </x:c>
      <x:c r="V98" s="29" t="n">
        <x:v>5</x:v>
      </x:c>
    </x:row>
    <x:row r="99">
      <x:c r="A99" s="23" t="str">
        <x:v>MAN-2025-00098</x:v>
      </x:c>
      <x:c r="B99" s="24" t="n">
        <x:v>45692</x:v>
      </x:c>
      <x:c r="C99" s="25" t="str">
        <x:v>Mansoura</x:v>
      </x:c>
      <x:c r="D99" s="25" t="str">
        <x:v>Aga</x:v>
      </x:c>
      <x:c r="E99" s="25" t="str">
        <x:v>Salma Mansour</x:v>
      </x:c>
      <x:c r="F99" s="25" t="str">
        <x:v>Mostafa Mansour</x:v>
      </x:c>
      <x:c r="G99" s="25" t="str">
        <x:v>Consumer</x:v>
      </x:c>
      <x:c r="H99" s="25" t="str">
        <x:v>Mobile App</x:v>
      </x:c>
      <x:c r="I99" s="25" t="str">
        <x:v>Home Appliances</x:v>
      </x:c>
      <x:c r="J99" s="25" t="str">
        <x:v>Microwave</x:v>
      </x:c>
      <x:c r="K99" s="25" t="n">
        <x:v>3</x:v>
      </x:c>
      <x:c r="L99" s="26" t="n">
        <x:v>5720</x:v>
      </x:c>
      <x:c r="M99" s="27" t="n">
        <x:v>0.1</x:v>
      </x:c>
      <x:c r="N99" s="26" t="n">
        <x:f>K99*L99</x:f>
        <x:v>17160</x:v>
      </x:c>
      <x:c r="O99" s="26" t="n">
        <x:f>N99*(1-M99)</x:f>
        <x:v>15444</x:v>
      </x:c>
      <x:c r="P99" s="26" t="n">
        <x:v>4544</x:v>
      </x:c>
      <x:c r="Q99" s="26" t="n">
        <x:f>K99*P99</x:f>
        <x:v>13632</x:v>
      </x:c>
      <x:c r="R99" s="26" t="n">
        <x:f>O99-Q99</x:f>
        <x:v>1812</x:v>
      </x:c>
      <x:c r="S99" s="28" t="n">
        <x:f>IF(O99=0,0,R99/O99)</x:f>
        <x:v>0.11732711732711733</x:v>
      </x:c>
      <x:c r="T99" s="25" t="str">
        <x:v>Digital Wallet</x:v>
      </x:c>
      <x:c r="U99" s="25" t="str">
        <x:v>Completed</x:v>
      </x:c>
      <x:c r="V99" s="29" t="n">
        <x:v>4</x:v>
      </x:c>
    </x:row>
    <x:row r="100">
      <x:c r="A100" s="23" t="str">
        <x:v>MAN-2025-00099</x:v>
      </x:c>
      <x:c r="B100" s="24" t="n">
        <x:v>45905</x:v>
      </x:c>
      <x:c r="C100" s="25" t="str">
        <x:v>Mansoura</x:v>
      </x:c>
      <x:c r="D100" s="25" t="str">
        <x:v>Talkha</x:v>
      </x:c>
      <x:c r="E100" s="25" t="str">
        <x:v>Ali Sayed</x:v>
      </x:c>
      <x:c r="F100" s="25" t="str">
        <x:v>Hana Gamal</x:v>
      </x:c>
      <x:c r="G100" s="25" t="str">
        <x:v>Corporate</x:v>
      </x:c>
      <x:c r="H100" s="25" t="str">
        <x:v>Website</x:v>
      </x:c>
      <x:c r="I100" s="25" t="str">
        <x:v>Home Appliances</x:v>
      </x:c>
      <x:c r="J100" s="25" t="str">
        <x:v>Washing Machine</x:v>
      </x:c>
      <x:c r="K100" s="25" t="n">
        <x:v>4</x:v>
      </x:c>
      <x:c r="L100" s="26" t="n">
        <x:v>15905</x:v>
      </x:c>
      <x:c r="M100" s="27" t="n">
        <x:v>0.05</x:v>
      </x:c>
      <x:c r="N100" s="26" t="n">
        <x:f>K100*L100</x:f>
        <x:v>63620</x:v>
      </x:c>
      <x:c r="O100" s="26" t="n">
        <x:f>N100*(1-M100)</x:f>
        <x:v>60439</x:v>
      </x:c>
      <x:c r="P100" s="26" t="n">
        <x:v>14293</x:v>
      </x:c>
      <x:c r="Q100" s="26" t="n">
        <x:f>K100*P100</x:f>
        <x:v>57172</x:v>
      </x:c>
      <x:c r="R100" s="26" t="n">
        <x:f>O100-Q100</x:f>
        <x:v>3267</x:v>
      </x:c>
      <x:c r="S100" s="28" t="n">
        <x:f>IF(O100=0,0,R100/O100)</x:f>
        <x:v>0.054054501232647795</x:v>
      </x:c>
      <x:c r="T100" s="25" t="str">
        <x:v>Bank Transfer</x:v>
      </x:c>
      <x:c r="U100" s="25" t="str">
        <x:v>Completed</x:v>
      </x:c>
      <x:c r="V100" s="29" t="n">
        <x:v>5</x:v>
      </x:c>
    </x:row>
    <x:row r="101">
      <x:c r="A101" s="23" t="str">
        <x:v>MAN-2025-00100</x:v>
      </x:c>
      <x:c r="B101" s="24" t="n">
        <x:v>45926</x:v>
      </x:c>
      <x:c r="C101" s="25" t="str">
        <x:v>Mansoura</x:v>
      </x:c>
      <x:c r="D101" s="25" t="str">
        <x:v>Sherbin</x:v>
      </x:c>
      <x:c r="E101" s="25" t="str">
        <x:v>Aya Farouk</x:v>
      </x:c>
      <x:c r="F101" s="25" t="str">
        <x:v>Youssef Sayed</x:v>
      </x:c>
      <x:c r="G101" s="25" t="str">
        <x:v>Consumer</x:v>
      </x:c>
      <x:c r="H101" s="25" t="str">
        <x:v>Phone Order</x:v>
      </x:c>
      <x:c r="I101" s="25" t="str">
        <x:v>Electronics</x:v>
      </x:c>
      <x:c r="J101" s="25" t="str">
        <x:v>Tablet</x:v>
      </x:c>
      <x:c r="K101" s="25" t="n">
        <x:v>5</x:v>
      </x:c>
      <x:c r="L101" s="26" t="n">
        <x:v>9510</x:v>
      </x:c>
      <x:c r="M101" s="27" t="n">
        <x:v>0.05</x:v>
      </x:c>
      <x:c r="N101" s="26" t="n">
        <x:f>K101*L101</x:f>
        <x:v>47550</x:v>
      </x:c>
      <x:c r="O101" s="26" t="n">
        <x:f>N101*(1-M101)</x:f>
        <x:v>45172.5</x:v>
      </x:c>
      <x:c r="P101" s="26" t="n">
        <x:v>7261</x:v>
      </x:c>
      <x:c r="Q101" s="26" t="n">
        <x:f>K101*P101</x:f>
        <x:v>36305</x:v>
      </x:c>
      <x:c r="R101" s="26" t="n">
        <x:f>O101-Q101</x:f>
        <x:v>8867.5</x:v>
      </x:c>
      <x:c r="S101" s="28" t="n">
        <x:f>IF(O101=0,0,R101/O101)</x:f>
        <x:v>0.19630306049034257</x:v>
      </x:c>
      <x:c r="T101" s="25" t="str">
        <x:v>Cash</x:v>
      </x:c>
      <x:c r="U101" s="25" t="str">
        <x:v>Completed</x:v>
      </x:c>
      <x:c r="V101" s="29" t="n">
        <x:v>4</x:v>
      </x:c>
    </x:row>
    <x:row r="102">
      <x:c r="A102" s="23" t="str">
        <x:v>MAN-2025-00101</x:v>
      </x:c>
      <x:c r="B102" s="24" t="n">
        <x:v>45746</x:v>
      </x:c>
      <x:c r="C102" s="25" t="str">
        <x:v>Mansoura</x:v>
      </x:c>
      <x:c r="D102" s="25" t="str">
        <x:v>Talkha</x:v>
      </x:c>
      <x:c r="E102" s="25" t="str">
        <x:v>Ali Sayed</x:v>
      </x:c>
      <x:c r="F102" s="25" t="str">
        <x:v>Ali Khalil</x:v>
      </x:c>
      <x:c r="G102" s="25" t="str">
        <x:v>Consumer</x:v>
      </x:c>
      <x:c r="H102" s="25" t="str">
        <x:v>Mobile App</x:v>
      </x:c>
      <x:c r="I102" s="25" t="str">
        <x:v>Office Supplies</x:v>
      </x:c>
      <x:c r="J102" s="25" t="str">
        <x:v>Calculator</x:v>
      </x:c>
      <x:c r="K102" s="25" t="n">
        <x:v>4</x:v>
      </x:c>
      <x:c r="L102" s="26" t="n">
        <x:v>459</x:v>
      </x:c>
      <x:c r="M102" s="27" t="n">
        <x:v>0.1</x:v>
      </x:c>
      <x:c r="N102" s="26" t="n">
        <x:f>K102*L102</x:f>
        <x:v>1836</x:v>
      </x:c>
      <x:c r="O102" s="26" t="n">
        <x:f>N102*(1-M102)</x:f>
        <x:v>1652.4</x:v>
      </x:c>
      <x:c r="P102" s="26" t="n">
        <x:v>296</x:v>
      </x:c>
      <x:c r="Q102" s="26" t="n">
        <x:f>K102*P102</x:f>
        <x:v>1184</x:v>
      </x:c>
      <x:c r="R102" s="26" t="n">
        <x:f>O102-Q102</x:f>
        <x:v>468.4000000000001</x:v>
      </x:c>
      <x:c r="S102" s="28" t="n">
        <x:f>IF(O102=0,0,R102/O102)</x:f>
        <x:v>0.2834664730089567</x:v>
      </x:c>
      <x:c r="T102" s="25" t="str">
        <x:v>Credit Card</x:v>
      </x:c>
      <x:c r="U102" s="25" t="str">
        <x:v>Completed</x:v>
      </x:c>
      <x:c r="V102" s="29" t="n">
        <x:v>4</x:v>
      </x:c>
    </x:row>
    <x:row r="103">
      <x:c r="A103" s="23" t="str">
        <x:v>MAN-2025-00102</x:v>
      </x:c>
      <x:c r="B103" s="24" t="n">
        <x:v>45915</x:v>
      </x:c>
      <x:c r="C103" s="25" t="str">
        <x:v>Mansoura</x:v>
      </x:c>
      <x:c r="D103" s="25" t="str">
        <x:v>Aga</x:v>
      </x:c>
      <x:c r="E103" s="25" t="str">
        <x:v>Youssef Fathy</x:v>
      </x:c>
      <x:c r="F103" s="25" t="str">
        <x:v>Ahmed Farouk</x:v>
      </x:c>
      <x:c r="G103" s="25" t="str">
        <x:v>Consumer</x:v>
      </x:c>
      <x:c r="H103" s="25" t="str">
        <x:v>Retail Store</x:v>
      </x:c>
      <x:c r="I103" s="25" t="str">
        <x:v>Electronics</x:v>
      </x:c>
      <x:c r="J103" s="25" t="str">
        <x:v>Tablet</x:v>
      </x:c>
      <x:c r="K103" s="25" t="n">
        <x:v>6</x:v>
      </x:c>
      <x:c r="L103" s="26" t="n">
        <x:v>8413</x:v>
      </x:c>
      <x:c r="M103" s="27" t="n">
        <x:v>0</x:v>
      </x:c>
      <x:c r="N103" s="26" t="n">
        <x:f>K103*L103</x:f>
        <x:v>50478</x:v>
      </x:c>
      <x:c r="O103" s="26" t="n">
        <x:f>N103*(1-M103)</x:f>
        <x:v>50478</x:v>
      </x:c>
      <x:c r="P103" s="26" t="n">
        <x:v>7241</x:v>
      </x:c>
      <x:c r="Q103" s="26" t="n">
        <x:f>K103*P103</x:f>
        <x:v>43446</x:v>
      </x:c>
      <x:c r="R103" s="26" t="n">
        <x:f>O103-Q103</x:f>
        <x:v>7032</x:v>
      </x:c>
      <x:c r="S103" s="28" t="n">
        <x:f>IF(O103=0,0,R103/O103)</x:f>
        <x:v>0.13930821347913944</x:v>
      </x:c>
      <x:c r="T103" s="25" t="str">
        <x:v>Debit Card</x:v>
      </x:c>
      <x:c r="U103" s="25" t="str">
        <x:v>Completed</x:v>
      </x:c>
      <x:c r="V103" s="29" t="n">
        <x:v>4</x:v>
      </x:c>
    </x:row>
    <x:row r="104">
      <x:c r="A104" s="23" t="str">
        <x:v>MAN-2025-00103</x:v>
      </x:c>
      <x:c r="B104" s="24" t="n">
        <x:v>45958</x:v>
      </x:c>
      <x:c r="C104" s="25" t="str">
        <x:v>Mansoura</x:v>
      </x:c>
      <x:c r="D104" s="25" t="str">
        <x:v>Mit Ghamr</x:v>
      </x:c>
      <x:c r="E104" s="25" t="str">
        <x:v>Ali Sayed</x:v>
      </x:c>
      <x:c r="F104" s="25" t="str">
        <x:v>Omar Gamal</x:v>
      </x:c>
      <x:c r="G104" s="25" t="str">
        <x:v>Consumer</x:v>
      </x:c>
      <x:c r="H104" s="25" t="str">
        <x:v>Retail Store</x:v>
      </x:c>
      <x:c r="I104" s="25" t="str">
        <x:v>Office Supplies</x:v>
      </x:c>
      <x:c r="J104" s="25" t="str">
        <x:v>Printer</x:v>
      </x:c>
      <x:c r="K104" s="25" t="n">
        <x:v>4</x:v>
      </x:c>
      <x:c r="L104" s="26" t="n">
        <x:v>6283</x:v>
      </x:c>
      <x:c r="M104" s="27" t="n">
        <x:v>0.05</x:v>
      </x:c>
      <x:c r="N104" s="26" t="n">
        <x:f>K104*L104</x:f>
        <x:v>25132</x:v>
      </x:c>
      <x:c r="O104" s="26" t="n">
        <x:f>N104*(1-M104)</x:f>
        <x:v>23875.399999999998</x:v>
      </x:c>
      <x:c r="P104" s="26" t="n">
        <x:v>5414</x:v>
      </x:c>
      <x:c r="Q104" s="26" t="n">
        <x:f>K104*P104</x:f>
        <x:v>21656</x:v>
      </x:c>
      <x:c r="R104" s="26" t="n">
        <x:f>O104-Q104</x:f>
        <x:v>2219.399999999998</x:v>
      </x:c>
      <x:c r="S104" s="28" t="n">
        <x:f>IF(O104=0,0,R104/O104)</x:f>
        <x:v>0.092957604898766</x:v>
      </x:c>
      <x:c r="T104" s="25" t="str">
        <x:v>Cash</x:v>
      </x:c>
      <x:c r="U104" s="25" t="str">
        <x:v>Cancelled</x:v>
      </x:c>
      <x:c r="V104" s="29" t="n">
        <x:v>3</x:v>
      </x:c>
    </x:row>
    <x:row r="105">
      <x:c r="A105" s="23" t="str">
        <x:v>MAN-2025-00104</x:v>
      </x:c>
      <x:c r="B105" s="24" t="n">
        <x:v>45979</x:v>
      </x:c>
      <x:c r="C105" s="25" t="str">
        <x:v>Mansoura</x:v>
      </x:c>
      <x:c r="D105" s="25" t="str">
        <x:v>Aga</x:v>
      </x:c>
      <x:c r="E105" s="25" t="str">
        <x:v>Salma Mansour</x:v>
      </x:c>
      <x:c r="F105" s="25" t="str">
        <x:v>Mohamed Sayed</x:v>
      </x:c>
      <x:c r="G105" s="25" t="str">
        <x:v>Corporate</x:v>
      </x:c>
      <x:c r="H105" s="25" t="str">
        <x:v>Retail Store</x:v>
      </x:c>
      <x:c r="I105" s="25" t="str">
        <x:v>Home Appliances</x:v>
      </x:c>
      <x:c r="J105" s="25" t="str">
        <x:v>Air Conditioner</x:v>
      </x:c>
      <x:c r="K105" s="25" t="n">
        <x:v>3</x:v>
      </x:c>
      <x:c r="L105" s="26" t="n">
        <x:v>20798</x:v>
      </x:c>
      <x:c r="M105" s="27" t="n">
        <x:v>0</x:v>
      </x:c>
      <x:c r="N105" s="26" t="n">
        <x:f>K105*L105</x:f>
        <x:v>62394</x:v>
      </x:c>
      <x:c r="O105" s="26" t="n">
        <x:f>N105*(1-M105)</x:f>
        <x:v>62394</x:v>
      </x:c>
      <x:c r="P105" s="26" t="n">
        <x:v>18234</x:v>
      </x:c>
      <x:c r="Q105" s="26" t="n">
        <x:f>K105*P105</x:f>
        <x:v>54702</x:v>
      </x:c>
      <x:c r="R105" s="26" t="n">
        <x:f>O105-Q105</x:f>
        <x:v>7692</x:v>
      </x:c>
      <x:c r="S105" s="28" t="n">
        <x:f>IF(O105=0,0,R105/O105)</x:f>
        <x:v>0.12328108471968459</x:v>
      </x:c>
      <x:c r="T105" s="25" t="str">
        <x:v>Debit Card</x:v>
      </x:c>
      <x:c r="U105" s="25" t="str">
        <x:v>Returned</x:v>
      </x:c>
      <x:c r="V105" s="29" t="n">
        <x:v>4</x:v>
      </x:c>
    </x:row>
    <x:row r="106">
      <x:c r="A106" s="23" t="str">
        <x:v>MAN-2025-00105</x:v>
      </x:c>
      <x:c r="B106" s="24" t="n">
        <x:v>45990</x:v>
      </x:c>
      <x:c r="C106" s="25" t="str">
        <x:v>Mansoura</x:v>
      </x:c>
      <x:c r="D106" s="25" t="str">
        <x:v>Mansoura City</x:v>
      </x:c>
      <x:c r="E106" s="25" t="str">
        <x:v>Ali Sayed</x:v>
      </x:c>
      <x:c r="F106" s="25" t="str">
        <x:v>Aya Samir</x:v>
      </x:c>
      <x:c r="G106" s="25" t="str">
        <x:v>Consumer</x:v>
      </x:c>
      <x:c r="H106" s="25" t="str">
        <x:v>Phone Order</x:v>
      </x:c>
      <x:c r="I106" s="25" t="str">
        <x:v>Office Supplies</x:v>
      </x:c>
      <x:c r="J106" s="25" t="str">
        <x:v>Ink Cartridge</x:v>
      </x:c>
      <x:c r="K106" s="25" t="n">
        <x:v>2</x:v>
      </x:c>
      <x:c r="L106" s="26" t="n">
        <x:v>796</x:v>
      </x:c>
      <x:c r="M106" s="27" t="n">
        <x:v>0.15</x:v>
      </x:c>
      <x:c r="N106" s="26" t="n">
        <x:f>K106*L106</x:f>
        <x:v>1592</x:v>
      </x:c>
      <x:c r="O106" s="26" t="n">
        <x:f>N106*(1-M106)</x:f>
        <x:v>1353.2</x:v>
      </x:c>
      <x:c r="P106" s="26" t="n">
        <x:v>576</x:v>
      </x:c>
      <x:c r="Q106" s="26" t="n">
        <x:f>K106*P106</x:f>
        <x:v>1152</x:v>
      </x:c>
      <x:c r="R106" s="26" t="n">
        <x:f>O106-Q106</x:f>
        <x:v>201.20000000000005</x:v>
      </x:c>
      <x:c r="S106" s="28" t="n">
        <x:f>IF(O106=0,0,R106/O106)</x:f>
        <x:v>0.1486845994679279</x:v>
      </x:c>
      <x:c r="T106" s="25" t="str">
        <x:v>Digital Wallet</x:v>
      </x:c>
      <x:c r="U106" s="25" t="str">
        <x:v>Completed</x:v>
      </x:c>
      <x:c r="V106" s="29" t="n">
        <x:v>4</x:v>
      </x:c>
    </x:row>
    <x:row r="107">
      <x:c r="A107" s="23" t="str">
        <x:v>MAN-2025-00106</x:v>
      </x:c>
      <x:c r="B107" s="24" t="n">
        <x:v>45902</x:v>
      </x:c>
      <x:c r="C107" s="25" t="str">
        <x:v>Mansoura</x:v>
      </x:c>
      <x:c r="D107" s="25" t="str">
        <x:v>Talkha</x:v>
      </x:c>
      <x:c r="E107" s="25" t="str">
        <x:v>Youssef Fathy</x:v>
      </x:c>
      <x:c r="F107" s="25" t="str">
        <x:v>Hana Hassan</x:v>
      </x:c>
      <x:c r="G107" s="25" t="str">
        <x:v>Consumer</x:v>
      </x:c>
      <x:c r="H107" s="25" t="str">
        <x:v>Website</x:v>
      </x:c>
      <x:c r="I107" s="25" t="str">
        <x:v>Home Appliances</x:v>
      </x:c>
      <x:c r="J107" s="25" t="str">
        <x:v>Microwave</x:v>
      </x:c>
      <x:c r="K107" s="25" t="n">
        <x:v>5</x:v>
      </x:c>
      <x:c r="L107" s="26" t="n">
        <x:v>5733</x:v>
      </x:c>
      <x:c r="M107" s="27" t="n">
        <x:v>0.15</x:v>
      </x:c>
      <x:c r="N107" s="26" t="n">
        <x:f>K107*L107</x:f>
        <x:v>28665</x:v>
      </x:c>
      <x:c r="O107" s="26" t="n">
        <x:f>N107*(1-M107)</x:f>
        <x:v>24365.25</x:v>
      </x:c>
      <x:c r="P107" s="26" t="n">
        <x:v>4554</x:v>
      </x:c>
      <x:c r="Q107" s="26" t="n">
        <x:f>K107*P107</x:f>
        <x:v>22770</x:v>
      </x:c>
      <x:c r="R107" s="26" t="n">
        <x:f>O107-Q107</x:f>
        <x:v>1595.25</x:v>
      </x:c>
      <x:c r="S107" s="28" t="n">
        <x:f>IF(O107=0,0,R107/O107)</x:f>
        <x:v>0.06547234278326715</x:v>
      </x:c>
      <x:c r="T107" s="25" t="str">
        <x:v>Cash</x:v>
      </x:c>
      <x:c r="U107" s="25" t="str">
        <x:v>Completed</x:v>
      </x:c>
      <x:c r="V107" s="29" t="n">
        <x:v>4</x:v>
      </x:c>
    </x:row>
    <x:row r="108">
      <x:c r="A108" s="23" t="str">
        <x:v>MAN-2025-00107</x:v>
      </x:c>
      <x:c r="B108" s="24" t="n">
        <x:v>45752</x:v>
      </x:c>
      <x:c r="C108" s="25" t="str">
        <x:v>Mansoura</x:v>
      </x:c>
      <x:c r="D108" s="25" t="str">
        <x:v>Talkha</x:v>
      </x:c>
      <x:c r="E108" s="25" t="str">
        <x:v>Aya Farouk</x:v>
      </x:c>
      <x:c r="F108" s="25" t="str">
        <x:v>Nour Fathy</x:v>
      </x:c>
      <x:c r="G108" s="25" t="str">
        <x:v>Small Business</x:v>
      </x:c>
      <x:c r="H108" s="25" t="str">
        <x:v>Retail Store</x:v>
      </x:c>
      <x:c r="I108" s="25" t="str">
        <x:v>Furniture</x:v>
      </x:c>
      <x:c r="J108" s="25" t="str">
        <x:v>Bookshelf</x:v>
      </x:c>
      <x:c r="K108" s="25" t="n">
        <x:v>4</x:v>
      </x:c>
      <x:c r="L108" s="26" t="n">
        <x:v>3028</x:v>
      </x:c>
      <x:c r="M108" s="27" t="n">
        <x:v>0.05</x:v>
      </x:c>
      <x:c r="N108" s="26" t="n">
        <x:f>K108*L108</x:f>
        <x:v>12112</x:v>
      </x:c>
      <x:c r="O108" s="26" t="n">
        <x:f>N108*(1-M108)</x:f>
        <x:v>11506.4</x:v>
      </x:c>
      <x:c r="P108" s="26" t="n">
        <x:v>2232</x:v>
      </x:c>
      <x:c r="Q108" s="26" t="n">
        <x:f>K108*P108</x:f>
        <x:v>8928</x:v>
      </x:c>
      <x:c r="R108" s="26" t="n">
        <x:f>O108-Q108</x:f>
        <x:v>2578.3999999999996</x:v>
      </x:c>
      <x:c r="S108" s="28" t="n">
        <x:f>IF(O108=0,0,R108/O108)</x:f>
        <x:v>0.22408398804143778</x:v>
      </x:c>
      <x:c r="T108" s="25" t="str">
        <x:v>Digital Wallet</x:v>
      </x:c>
      <x:c r="U108" s="25" t="str">
        <x:v>Cancelled</x:v>
      </x:c>
      <x:c r="V108" s="29" t="n">
        <x:v>3</x:v>
      </x:c>
    </x:row>
    <x:row r="109">
      <x:c r="A109" s="23" t="str">
        <x:v>MAN-2025-00108</x:v>
      </x:c>
      <x:c r="B109" s="24" t="n">
        <x:v>45770</x:v>
      </x:c>
      <x:c r="C109" s="25" t="str">
        <x:v>Mansoura</x:v>
      </x:c>
      <x:c r="D109" s="25" t="str">
        <x:v>Mit Ghamr</x:v>
      </x:c>
      <x:c r="E109" s="25" t="str">
        <x:v>Ali Sayed</x:v>
      </x:c>
      <x:c r="F109" s="25" t="str">
        <x:v>Ali Tarek</x:v>
      </x:c>
      <x:c r="G109" s="25" t="str">
        <x:v>Consumer</x:v>
      </x:c>
      <x:c r="H109" s="25" t="str">
        <x:v>Retail Store</x:v>
      </x:c>
      <x:c r="I109" s="25" t="str">
        <x:v>Office Supplies</x:v>
      </x:c>
      <x:c r="J109" s="25" t="str">
        <x:v>Printer</x:v>
      </x:c>
      <x:c r="K109" s="25" t="n">
        <x:v>2</x:v>
      </x:c>
      <x:c r="L109" s="26" t="n">
        <x:v>6904</x:v>
      </x:c>
      <x:c r="M109" s="27" t="n">
        <x:v>0</x:v>
      </x:c>
      <x:c r="N109" s="26" t="n">
        <x:f>K109*L109</x:f>
        <x:v>13808</x:v>
      </x:c>
      <x:c r="O109" s="26" t="n">
        <x:f>N109*(1-M109)</x:f>
        <x:v>13808</x:v>
      </x:c>
      <x:c r="P109" s="26" t="n">
        <x:v>5190</x:v>
      </x:c>
      <x:c r="Q109" s="26" t="n">
        <x:f>K109*P109</x:f>
        <x:v>10380</x:v>
      </x:c>
      <x:c r="R109" s="26" t="n">
        <x:f>O109-Q109</x:f>
        <x:v>3428</x:v>
      </x:c>
      <x:c r="S109" s="28" t="n">
        <x:f>IF(O109=0,0,R109/O109)</x:f>
        <x:v>0.24826187717265352</x:v>
      </x:c>
      <x:c r="T109" s="25" t="str">
        <x:v>Bank Transfer</x:v>
      </x:c>
      <x:c r="U109" s="25" t="str">
        <x:v>Completed</x:v>
      </x:c>
      <x:c r="V109" s="29" t="n">
        <x:v>4</x:v>
      </x:c>
    </x:row>
    <x:row r="110">
      <x:c r="A110" s="23" t="str">
        <x:v>MAN-2025-00109</x:v>
      </x:c>
      <x:c r="B110" s="24" t="n">
        <x:v>45764</x:v>
      </x:c>
      <x:c r="C110" s="25" t="str">
        <x:v>Mansoura</x:v>
      </x:c>
      <x:c r="D110" s="25" t="str">
        <x:v>Sherbin</x:v>
      </x:c>
      <x:c r="E110" s="25" t="str">
        <x:v>Ali Sayed</x:v>
      </x:c>
      <x:c r="F110" s="25" t="str">
        <x:v>Nour Adel</x:v>
      </x:c>
      <x:c r="G110" s="25" t="str">
        <x:v>Consumer</x:v>
      </x:c>
      <x:c r="H110" s="25" t="str">
        <x:v>Retail Store</x:v>
      </x:c>
      <x:c r="I110" s="25" t="str">
        <x:v>Home Appliances</x:v>
      </x:c>
      <x:c r="J110" s="25" t="str">
        <x:v>Air Conditioner</x:v>
      </x:c>
      <x:c r="K110" s="25" t="n">
        <x:v>3</x:v>
      </x:c>
      <x:c r="L110" s="26" t="n">
        <x:v>20904</x:v>
      </x:c>
      <x:c r="M110" s="27" t="n">
        <x:v>0</x:v>
      </x:c>
      <x:c r="N110" s="26" t="n">
        <x:f>K110*L110</x:f>
        <x:v>62712</x:v>
      </x:c>
      <x:c r="O110" s="26" t="n">
        <x:f>N110*(1-M110)</x:f>
        <x:v>62712</x:v>
      </x:c>
      <x:c r="P110" s="26" t="n">
        <x:v>17623</x:v>
      </x:c>
      <x:c r="Q110" s="26" t="n">
        <x:f>K110*P110</x:f>
        <x:v>52869</x:v>
      </x:c>
      <x:c r="R110" s="26" t="n">
        <x:f>O110-Q110</x:f>
        <x:v>9843</x:v>
      </x:c>
      <x:c r="S110" s="28" t="n">
        <x:f>IF(O110=0,0,R110/O110)</x:f>
        <x:v>0.15695560658247226</x:v>
      </x:c>
      <x:c r="T110" s="25" t="str">
        <x:v>Bank Transfer</x:v>
      </x:c>
      <x:c r="U110" s="25" t="str">
        <x:v>Completed</x:v>
      </x:c>
      <x:c r="V110" s="29" t="n">
        <x:v>5</x:v>
      </x:c>
    </x:row>
    <x:row r="111">
      <x:c r="A111" s="23" t="str">
        <x:v>MAN-2025-00110</x:v>
      </x:c>
      <x:c r="B111" s="24" t="n">
        <x:v>45726</x:v>
      </x:c>
      <x:c r="C111" s="25" t="str">
        <x:v>Mansoura</x:v>
      </x:c>
      <x:c r="D111" s="25" t="str">
        <x:v>Talkha</x:v>
      </x:c>
      <x:c r="E111" s="25" t="str">
        <x:v>Youssef Fathy</x:v>
      </x:c>
      <x:c r="F111" s="25" t="str">
        <x:v>Mahmoud Ibrahim</x:v>
      </x:c>
      <x:c r="G111" s="25" t="str">
        <x:v>Consumer</x:v>
      </x:c>
      <x:c r="H111" s="25" t="str">
        <x:v>Mobile App</x:v>
      </x:c>
      <x:c r="I111" s="25" t="str">
        <x:v>Electronics</x:v>
      </x:c>
      <x:c r="J111" s="25" t="str">
        <x:v>Tablet</x:v>
      </x:c>
      <x:c r="K111" s="25" t="n">
        <x:v>2</x:v>
      </x:c>
      <x:c r="L111" s="26" t="n">
        <x:v>9028</x:v>
      </x:c>
      <x:c r="M111" s="27" t="n">
        <x:v>0</x:v>
      </x:c>
      <x:c r="N111" s="26" t="n">
        <x:f>K111*L111</x:f>
        <x:v>18056</x:v>
      </x:c>
      <x:c r="O111" s="26" t="n">
        <x:f>N111*(1-M111)</x:f>
        <x:v>18056</x:v>
      </x:c>
      <x:c r="P111" s="26" t="n">
        <x:v>7586</x:v>
      </x:c>
      <x:c r="Q111" s="26" t="n">
        <x:f>K111*P111</x:f>
        <x:v>15172</x:v>
      </x:c>
      <x:c r="R111" s="26" t="n">
        <x:f>O111-Q111</x:f>
        <x:v>2884</x:v>
      </x:c>
      <x:c r="S111" s="28" t="n">
        <x:f>IF(O111=0,0,R111/O111)</x:f>
        <x:v>0.15972529906956137</x:v>
      </x:c>
      <x:c r="T111" s="25" t="str">
        <x:v>Cash</x:v>
      </x:c>
      <x:c r="U111" s="25" t="str">
        <x:v>Completed</x:v>
      </x:c>
      <x:c r="V111" s="29" t="n">
        <x:v>5</x:v>
      </x:c>
    </x:row>
    <x:row r="112">
      <x:c r="A112" s="23" t="str">
        <x:v>MAN-2025-00111</x:v>
      </x:c>
      <x:c r="B112" s="24" t="n">
        <x:v>45765</x:v>
      </x:c>
      <x:c r="C112" s="25" t="str">
        <x:v>Mansoura</x:v>
      </x:c>
      <x:c r="D112" s="25" t="str">
        <x:v>Mansoura City</x:v>
      </x:c>
      <x:c r="E112" s="25" t="str">
        <x:v>Ali Sayed</x:v>
      </x:c>
      <x:c r="F112" s="25" t="str">
        <x:v>Nour Ibrahim</x:v>
      </x:c>
      <x:c r="G112" s="25" t="str">
        <x:v>Consumer</x:v>
      </x:c>
      <x:c r="H112" s="25" t="str">
        <x:v>Phone Order</x:v>
      </x:c>
      <x:c r="I112" s="25" t="str">
        <x:v>Furniture</x:v>
      </x:c>
      <x:c r="J112" s="25" t="str">
        <x:v>Office Chair</x:v>
      </x:c>
      <x:c r="K112" s="25" t="n">
        <x:v>1</x:v>
      </x:c>
      <x:c r="L112" s="26" t="n">
        <x:v>3995</x:v>
      </x:c>
      <x:c r="M112" s="27" t="n">
        <x:v>0.15</x:v>
      </x:c>
      <x:c r="N112" s="26" t="n">
        <x:f>K112*L112</x:f>
        <x:v>3995</x:v>
      </x:c>
      <x:c r="O112" s="26" t="n">
        <x:f>N112*(1-M112)</x:f>
        <x:v>3395.75</x:v>
      </x:c>
      <x:c r="P112" s="26" t="n">
        <x:v>2801</x:v>
      </x:c>
      <x:c r="Q112" s="26" t="n">
        <x:f>K112*P112</x:f>
        <x:v>2801</x:v>
      </x:c>
      <x:c r="R112" s="26" t="n">
        <x:f>O112-Q112</x:f>
        <x:v>594.75</x:v>
      </x:c>
      <x:c r="S112" s="28" t="n">
        <x:f>IF(O112=0,0,R112/O112)</x:f>
        <x:v>0.17514540234116174</x:v>
      </x:c>
      <x:c r="T112" s="25" t="str">
        <x:v>Digital Wallet</x:v>
      </x:c>
      <x:c r="U112" s="25" t="str">
        <x:v>Completed</x:v>
      </x:c>
      <x:c r="V112" s="29" t="n">
        <x:v>3</x:v>
      </x:c>
    </x:row>
    <x:row r="113">
      <x:c r="A113" s="23" t="str">
        <x:v>MAN-2025-00112</x:v>
      </x:c>
      <x:c r="B113" s="24" t="n">
        <x:v>45667</x:v>
      </x:c>
      <x:c r="C113" s="25" t="str">
        <x:v>Mansoura</x:v>
      </x:c>
      <x:c r="D113" s="25" t="str">
        <x:v>Talkha</x:v>
      </x:c>
      <x:c r="E113" s="25" t="str">
        <x:v>Ali Sayed</x:v>
      </x:c>
      <x:c r="F113" s="25" t="str">
        <x:v>Nour Farouk</x:v>
      </x:c>
      <x:c r="G113" s="25" t="str">
        <x:v>Consumer</x:v>
      </x:c>
      <x:c r="H113" s="25" t="str">
        <x:v>Mobile App</x:v>
      </x:c>
      <x:c r="I113" s="25" t="str">
        <x:v>Electronics</x:v>
      </x:c>
      <x:c r="J113" s="25" t="str">
        <x:v>Smartphone</x:v>
      </x:c>
      <x:c r="K113" s="25" t="n">
        <x:v>3</x:v>
      </x:c>
      <x:c r="L113" s="26" t="n">
        <x:v>13201</x:v>
      </x:c>
      <x:c r="M113" s="27" t="n">
        <x:v>0.15</x:v>
      </x:c>
      <x:c r="N113" s="26" t="n">
        <x:f>K113*L113</x:f>
        <x:v>39603</x:v>
      </x:c>
      <x:c r="O113" s="26" t="n">
        <x:f>N113*(1-M113)</x:f>
        <x:v>33662.549999999996</x:v>
      </x:c>
      <x:c r="P113" s="26" t="n">
        <x:v>11048</x:v>
      </x:c>
      <x:c r="Q113" s="26" t="n">
        <x:f>K113*P113</x:f>
        <x:v>33144</x:v>
      </x:c>
      <x:c r="R113" s="26" t="n">
        <x:f>O113-Q113</x:f>
        <x:v>518.5499999999956</x:v>
      </x:c>
      <x:c r="S113" s="28" t="n">
        <x:f>IF(O113=0,0,R113/O113)</x:f>
        <x:v>0.015404358849819628</x:v>
      </x:c>
      <x:c r="T113" s="25" t="str">
        <x:v>Debit Card</x:v>
      </x:c>
      <x:c r="U113" s="25" t="str">
        <x:v>Completed</x:v>
      </x:c>
      <x:c r="V113" s="29" t="n">
        <x:v>4</x:v>
      </x:c>
    </x:row>
    <x:row r="114">
      <x:c r="A114" s="23" t="str">
        <x:v>MAN-2025-00113</x:v>
      </x:c>
      <x:c r="B114" s="24" t="n">
        <x:v>45765</x:v>
      </x:c>
      <x:c r="C114" s="25" t="str">
        <x:v>Mansoura</x:v>
      </x:c>
      <x:c r="D114" s="25" t="str">
        <x:v>Talkha</x:v>
      </x:c>
      <x:c r="E114" s="25" t="str">
        <x:v>Salma Mansour</x:v>
      </x:c>
      <x:c r="F114" s="25" t="str">
        <x:v>Nour Samir</x:v>
      </x:c>
      <x:c r="G114" s="25" t="str">
        <x:v>Corporate</x:v>
      </x:c>
      <x:c r="H114" s="25" t="str">
        <x:v>Retail Store</x:v>
      </x:c>
      <x:c r="I114" s="25" t="str">
        <x:v>Electronics</x:v>
      </x:c>
      <x:c r="J114" s="25" t="str">
        <x:v>Tablet</x:v>
      </x:c>
      <x:c r="K114" s="25" t="n">
        <x:v>1</x:v>
      </x:c>
      <x:c r="L114" s="26" t="n">
        <x:v>8975</x:v>
      </x:c>
      <x:c r="M114" s="27" t="n">
        <x:v>0.1</x:v>
      </x:c>
      <x:c r="N114" s="26" t="n">
        <x:f>K114*L114</x:f>
        <x:v>8975</x:v>
      </x:c>
      <x:c r="O114" s="26" t="n">
        <x:f>N114*(1-M114)</x:f>
        <x:v>8077.5</x:v>
      </x:c>
      <x:c r="P114" s="26" t="n">
        <x:v>7586</x:v>
      </x:c>
      <x:c r="Q114" s="26" t="n">
        <x:f>K114*P114</x:f>
        <x:v>7586</x:v>
      </x:c>
      <x:c r="R114" s="26" t="n">
        <x:f>O114-Q114</x:f>
        <x:v>491.5</x:v>
      </x:c>
      <x:c r="S114" s="28" t="n">
        <x:f>IF(O114=0,0,R114/O114)</x:f>
        <x:v>0.060848034664190656</x:v>
      </x:c>
      <x:c r="T114" s="25" t="str">
        <x:v>Bank Transfer</x:v>
      </x:c>
      <x:c r="U114" s="25" t="str">
        <x:v>Returned</x:v>
      </x:c>
      <x:c r="V114" s="29" t="n">
        <x:v>5</x:v>
      </x:c>
    </x:row>
    <x:row r="115">
      <x:c r="A115" s="23" t="str">
        <x:v>MAN-2025-00114</x:v>
      </x:c>
      <x:c r="B115" s="24" t="n">
        <x:v>45928</x:v>
      </x:c>
      <x:c r="C115" s="25" t="str">
        <x:v>Mansoura</x:v>
      </x:c>
      <x:c r="D115" s="25" t="str">
        <x:v>Talkha</x:v>
      </x:c>
      <x:c r="E115" s="25" t="str">
        <x:v>Ali Sayed</x:v>
      </x:c>
      <x:c r="F115" s="25" t="str">
        <x:v>Farah Nasser</x:v>
      </x:c>
      <x:c r="G115" s="25" t="str">
        <x:v>Consumer</x:v>
      </x:c>
      <x:c r="H115" s="25" t="str">
        <x:v>Phone Order</x:v>
      </x:c>
      <x:c r="I115" s="25" t="str">
        <x:v>Home Appliances</x:v>
      </x:c>
      <x:c r="J115" s="25" t="str">
        <x:v>Microwave</x:v>
      </x:c>
      <x:c r="K115" s="25" t="n">
        <x:v>6</x:v>
      </x:c>
      <x:c r="L115" s="26" t="n">
        <x:v>5304</x:v>
      </x:c>
      <x:c r="M115" s="27" t="n">
        <x:v>0</x:v>
      </x:c>
      <x:c r="N115" s="26" t="n">
        <x:f>K115*L115</x:f>
        <x:v>31824</x:v>
      </x:c>
      <x:c r="O115" s="26" t="n">
        <x:f>N115*(1-M115)</x:f>
        <x:v>31824</x:v>
      </x:c>
      <x:c r="P115" s="26" t="n">
        <x:v>4515</x:v>
      </x:c>
      <x:c r="Q115" s="26" t="n">
        <x:f>K115*P115</x:f>
        <x:v>27090</x:v>
      </x:c>
      <x:c r="R115" s="26" t="n">
        <x:f>O115-Q115</x:f>
        <x:v>4734</x:v>
      </x:c>
      <x:c r="S115" s="28" t="n">
        <x:f>IF(O115=0,0,R115/O115)</x:f>
        <x:v>0.14875565610859728</x:v>
      </x:c>
      <x:c r="T115" s="25" t="str">
        <x:v>Cash</x:v>
      </x:c>
      <x:c r="U115" s="25" t="str">
        <x:v>Completed</x:v>
      </x:c>
      <x:c r="V115" s="29" t="n">
        <x:v>4</x:v>
      </x:c>
    </x:row>
    <x:row r="116">
      <x:c r="A116" s="23" t="str">
        <x:v>MAN-2025-00115</x:v>
      </x:c>
      <x:c r="B116" s="24" t="n">
        <x:v>45710</x:v>
      </x:c>
      <x:c r="C116" s="25" t="str">
        <x:v>Mansoura</x:v>
      </x:c>
      <x:c r="D116" s="25" t="str">
        <x:v>Mit Ghamr</x:v>
      </x:c>
      <x:c r="E116" s="25" t="str">
        <x:v>Ali Sayed</x:v>
      </x:c>
      <x:c r="F116" s="25" t="str">
        <x:v>Mahmoud Khalil</x:v>
      </x:c>
      <x:c r="G116" s="25" t="str">
        <x:v>Small Business</x:v>
      </x:c>
      <x:c r="H116" s="25" t="str">
        <x:v>Retail Store</x:v>
      </x:c>
      <x:c r="I116" s="25" t="str">
        <x:v>Home Appliances</x:v>
      </x:c>
      <x:c r="J116" s="25" t="str">
        <x:v>Washing Machine</x:v>
      </x:c>
      <x:c r="K116" s="25" t="n">
        <x:v>1</x:v>
      </x:c>
      <x:c r="L116" s="26" t="n">
        <x:v>15821</x:v>
      </x:c>
      <x:c r="M116" s="27" t="n">
        <x:v>0</x:v>
      </x:c>
      <x:c r="N116" s="26" t="n">
        <x:f>K116*L116</x:f>
        <x:v>15821</x:v>
      </x:c>
      <x:c r="O116" s="26" t="n">
        <x:f>N116*(1-M116)</x:f>
        <x:v>15821</x:v>
      </x:c>
      <x:c r="P116" s="26" t="n">
        <x:v>13839</x:v>
      </x:c>
      <x:c r="Q116" s="26" t="n">
        <x:f>K116*P116</x:f>
        <x:v>13839</x:v>
      </x:c>
      <x:c r="R116" s="26" t="n">
        <x:f>O116-Q116</x:f>
        <x:v>1982</x:v>
      </x:c>
      <x:c r="S116" s="28" t="n">
        <x:f>IF(O116=0,0,R116/O116)</x:f>
        <x:v>0.12527653119271853</x:v>
      </x:c>
      <x:c r="T116" s="25" t="str">
        <x:v>Digital Wallet</x:v>
      </x:c>
      <x:c r="U116" s="25" t="str">
        <x:v>Cancelled</x:v>
      </x:c>
      <x:c r="V116" s="29" t="n">
        <x:v>3</x:v>
      </x:c>
    </x:row>
    <x:row r="117">
      <x:c r="A117" s="23" t="str">
        <x:v>MAN-2025-00116</x:v>
      </x:c>
      <x:c r="B117" s="24" t="n">
        <x:v>45689</x:v>
      </x:c>
      <x:c r="C117" s="25" t="str">
        <x:v>Mansoura</x:v>
      </x:c>
      <x:c r="D117" s="25" t="str">
        <x:v>Mit Ghamr</x:v>
      </x:c>
      <x:c r="E117" s="25" t="str">
        <x:v>Aya Farouk</x:v>
      </x:c>
      <x:c r="F117" s="25" t="str">
        <x:v>Ali Sayed</x:v>
      </x:c>
      <x:c r="G117" s="25" t="str">
        <x:v>Corporate</x:v>
      </x:c>
      <x:c r="H117" s="25" t="str">
        <x:v>Retail Store</x:v>
      </x:c>
      <x:c r="I117" s="25" t="str">
        <x:v>Office Supplies</x:v>
      </x:c>
      <x:c r="J117" s="25" t="str">
        <x:v>Printer</x:v>
      </x:c>
      <x:c r="K117" s="25" t="n">
        <x:v>1</x:v>
      </x:c>
      <x:c r="L117" s="26" t="n">
        <x:v>6770</x:v>
      </x:c>
      <x:c r="M117" s="27" t="n">
        <x:v>0.05</x:v>
      </x:c>
      <x:c r="N117" s="26" t="n">
        <x:f>K117*L117</x:f>
        <x:v>6770</x:v>
      </x:c>
      <x:c r="O117" s="26" t="n">
        <x:f>N117*(1-M117)</x:f>
        <x:v>6431.5</x:v>
      </x:c>
      <x:c r="P117" s="26" t="n">
        <x:v>5531</x:v>
      </x:c>
      <x:c r="Q117" s="26" t="n">
        <x:f>K117*P117</x:f>
        <x:v>5531</x:v>
      </x:c>
      <x:c r="R117" s="26" t="n">
        <x:f>O117-Q117</x:f>
        <x:v>900.5</x:v>
      </x:c>
      <x:c r="S117" s="28" t="n">
        <x:f>IF(O117=0,0,R117/O117)</x:f>
        <x:v>0.14001399362512634</x:v>
      </x:c>
      <x:c r="T117" s="25" t="str">
        <x:v>Digital Wallet</x:v>
      </x:c>
      <x:c r="U117" s="25" t="str">
        <x:v>Completed</x:v>
      </x:c>
      <x:c r="V117" s="29" t="n">
        <x:v>4</x:v>
      </x:c>
    </x:row>
    <x:row r="118">
      <x:c r="A118" s="23" t="str">
        <x:v>MAN-2025-00117</x:v>
      </x:c>
      <x:c r="B118" s="24" t="n">
        <x:v>45999</x:v>
      </x:c>
      <x:c r="C118" s="25" t="str">
        <x:v>Mansoura</x:v>
      </x:c>
      <x:c r="D118" s="25" t="str">
        <x:v>Talkha</x:v>
      </x:c>
      <x:c r="E118" s="25" t="str">
        <x:v>Youssef Fathy</x:v>
      </x:c>
      <x:c r="F118" s="25" t="str">
        <x:v>Mahmoud Mansour</x:v>
      </x:c>
      <x:c r="G118" s="25" t="str">
        <x:v>Consumer</x:v>
      </x:c>
      <x:c r="H118" s="25" t="str">
        <x:v>Website</x:v>
      </x:c>
      <x:c r="I118" s="25" t="str">
        <x:v>Home Appliances</x:v>
      </x:c>
      <x:c r="J118" s="25" t="str">
        <x:v>Microwave</x:v>
      </x:c>
      <x:c r="K118" s="25" t="n">
        <x:v>2</x:v>
      </x:c>
      <x:c r="L118" s="26" t="n">
        <x:v>5492</x:v>
      </x:c>
      <x:c r="M118" s="27" t="n">
        <x:v>0</x:v>
      </x:c>
      <x:c r="N118" s="26" t="n">
        <x:f>K118*L118</x:f>
        <x:v>10984</x:v>
      </x:c>
      <x:c r="O118" s="26" t="n">
        <x:f>N118*(1-M118)</x:f>
        <x:v>10984</x:v>
      </x:c>
      <x:c r="P118" s="26" t="n">
        <x:v>4420</x:v>
      </x:c>
      <x:c r="Q118" s="26" t="n">
        <x:f>K118*P118</x:f>
        <x:v>8840</x:v>
      </x:c>
      <x:c r="R118" s="26" t="n">
        <x:f>O118-Q118</x:f>
        <x:v>2144</x:v>
      </x:c>
      <x:c r="S118" s="28" t="n">
        <x:f>IF(O118=0,0,R118/O118)</x:f>
        <x:v>0.19519300801165332</x:v>
      </x:c>
      <x:c r="T118" s="25" t="str">
        <x:v>Cash</x:v>
      </x:c>
      <x:c r="U118" s="25" t="str">
        <x:v>Completed</x:v>
      </x:c>
      <x:c r="V118" s="29" t="n">
        <x:v>5</x:v>
      </x:c>
    </x:row>
    <x:row r="119">
      <x:c r="A119" s="23" t="str">
        <x:v>MAN-2025-00118</x:v>
      </x:c>
      <x:c r="B119" s="24" t="n">
        <x:v>45858</x:v>
      </x:c>
      <x:c r="C119" s="25" t="str">
        <x:v>Mansoura</x:v>
      </x:c>
      <x:c r="D119" s="25" t="str">
        <x:v>Sherbin</x:v>
      </x:c>
      <x:c r="E119" s="25" t="str">
        <x:v>Salma Mansour</x:v>
      </x:c>
      <x:c r="F119" s="25" t="str">
        <x:v>Sara Ibrahim</x:v>
      </x:c>
      <x:c r="G119" s="25" t="str">
        <x:v>Corporate</x:v>
      </x:c>
      <x:c r="H119" s="25" t="str">
        <x:v>Retail Store</x:v>
      </x:c>
      <x:c r="I119" s="25" t="str">
        <x:v>Furniture</x:v>
      </x:c>
      <x:c r="J119" s="25" t="str">
        <x:v>Sofa</x:v>
      </x:c>
      <x:c r="K119" s="25" t="n">
        <x:v>5</x:v>
      </x:c>
      <x:c r="L119" s="26" t="n">
        <x:v>13195</x:v>
      </x:c>
      <x:c r="M119" s="27" t="n">
        <x:v>0</x:v>
      </x:c>
      <x:c r="N119" s="26" t="n">
        <x:f>K119*L119</x:f>
        <x:v>65975</x:v>
      </x:c>
      <x:c r="O119" s="26" t="n">
        <x:f>N119*(1-M119)</x:f>
        <x:v>65975</x:v>
      </x:c>
      <x:c r="P119" s="26" t="n">
        <x:v>11204</x:v>
      </x:c>
      <x:c r="Q119" s="26" t="n">
        <x:f>K119*P119</x:f>
        <x:v>56020</x:v>
      </x:c>
      <x:c r="R119" s="26" t="n">
        <x:f>O119-Q119</x:f>
        <x:v>9955</x:v>
      </x:c>
      <x:c r="S119" s="28" t="n">
        <x:f>IF(O119=0,0,R119/O119)</x:f>
        <x:v>0.1508904888215233</x:v>
      </x:c>
      <x:c r="T119" s="25" t="str">
        <x:v>Credit Card</x:v>
      </x:c>
      <x:c r="U119" s="25" t="str">
        <x:v>Completed</x:v>
      </x:c>
      <x:c r="V119" s="29" t="n">
        <x:v>5</x:v>
      </x:c>
    </x:row>
    <x:row r="120">
      <x:c r="A120" s="23" t="str">
        <x:v>MAN-2025-00119</x:v>
      </x:c>
      <x:c r="B120" s="24" t="n">
        <x:v>45933</x:v>
      </x:c>
      <x:c r="C120" s="25" t="str">
        <x:v>Mansoura</x:v>
      </x:c>
      <x:c r="D120" s="25" t="str">
        <x:v>Sherbin</x:v>
      </x:c>
      <x:c r="E120" s="25" t="str">
        <x:v>Youssef Fathy</x:v>
      </x:c>
      <x:c r="F120" s="25" t="str">
        <x:v>Ahmed Tarek</x:v>
      </x:c>
      <x:c r="G120" s="25" t="str">
        <x:v>Consumer</x:v>
      </x:c>
      <x:c r="H120" s="25" t="str">
        <x:v>Retail Store</x:v>
      </x:c>
      <x:c r="I120" s="25" t="str">
        <x:v>Office Supplies</x:v>
      </x:c>
      <x:c r="J120" s="25" t="str">
        <x:v>Printer</x:v>
      </x:c>
      <x:c r="K120" s="25" t="n">
        <x:v>2</x:v>
      </x:c>
      <x:c r="L120" s="26" t="n">
        <x:v>6321</x:v>
      </x:c>
      <x:c r="M120" s="27" t="n">
        <x:v>0.1</x:v>
      </x:c>
      <x:c r="N120" s="26" t="n">
        <x:f>K120*L120</x:f>
        <x:v>12642</x:v>
      </x:c>
      <x:c r="O120" s="26" t="n">
        <x:f>N120*(1-M120)</x:f>
        <x:v>11377.800000000001</x:v>
      </x:c>
      <x:c r="P120" s="26" t="n">
        <x:v>5290</x:v>
      </x:c>
      <x:c r="Q120" s="26" t="n">
        <x:f>K120*P120</x:f>
        <x:v>10580</x:v>
      </x:c>
      <x:c r="R120" s="26" t="n">
        <x:f>O120-Q120</x:f>
        <x:v>797.8000000000011</x:v>
      </x:c>
      <x:c r="S120" s="28" t="n">
        <x:f>IF(O120=0,0,R120/O120)</x:f>
        <x:v>0.07011900367382104</x:v>
      </x:c>
      <x:c r="T120" s="25" t="str">
        <x:v>Digital Wallet</x:v>
      </x:c>
      <x:c r="U120" s="25" t="str">
        <x:v>Completed</x:v>
      </x:c>
      <x:c r="V120" s="29" t="n">
        <x:v>3</x:v>
      </x:c>
    </x:row>
    <x:row r="121">
      <x:c r="A121" s="23" t="str">
        <x:v>MAN-2025-00120</x:v>
      </x:c>
      <x:c r="B121" s="24" t="n">
        <x:v>45833</x:v>
      </x:c>
      <x:c r="C121" s="25" t="str">
        <x:v>Mansoura</x:v>
      </x:c>
      <x:c r="D121" s="25" t="str">
        <x:v>Sherbin</x:v>
      </x:c>
      <x:c r="E121" s="25" t="str">
        <x:v>Ali Sayed</x:v>
      </x:c>
      <x:c r="F121" s="25" t="str">
        <x:v>Farah Ibrahim</x:v>
      </x:c>
      <x:c r="G121" s="25" t="str">
        <x:v>Consumer</x:v>
      </x:c>
      <x:c r="H121" s="25" t="str">
        <x:v>Mobile App</x:v>
      </x:c>
      <x:c r="I121" s="25" t="str">
        <x:v>Furniture</x:v>
      </x:c>
      <x:c r="J121" s="25" t="str">
        <x:v>Sofa</x:v>
      </x:c>
      <x:c r="K121" s="25" t="n">
        <x:v>4</x:v>
      </x:c>
      <x:c r="L121" s="26" t="n">
        <x:v>12928</x:v>
      </x:c>
      <x:c r="M121" s="27" t="n">
        <x:v>0</x:v>
      </x:c>
      <x:c r="N121" s="26" t="n">
        <x:f>K121*L121</x:f>
        <x:v>51712</x:v>
      </x:c>
      <x:c r="O121" s="26" t="n">
        <x:f>N121*(1-M121)</x:f>
        <x:v>51712</x:v>
      </x:c>
      <x:c r="P121" s="26" t="n">
        <x:v>11209</x:v>
      </x:c>
      <x:c r="Q121" s="26" t="n">
        <x:f>K121*P121</x:f>
        <x:v>44836</x:v>
      </x:c>
      <x:c r="R121" s="26" t="n">
        <x:f>O121-Q121</x:f>
        <x:v>6876</x:v>
      </x:c>
      <x:c r="S121" s="28" t="n">
        <x:f>IF(O121=0,0,R121/O121)</x:f>
        <x:v>0.13296720297029702</x:v>
      </x:c>
      <x:c r="T121" s="25" t="str">
        <x:v>Debit Card</x:v>
      </x:c>
      <x:c r="U121" s="25" t="str">
        <x:v>Returned</x:v>
      </x:c>
      <x:c r="V121" s="29" t="n">
        <x:v>5</x:v>
      </x:c>
    </x:row>
    <x:row r="122">
      <x:c r="A122" s="23" t="str">
        <x:v>MAN-2025-00121</x:v>
      </x:c>
      <x:c r="B122" s="24" t="n">
        <x:v>45670</x:v>
      </x:c>
      <x:c r="C122" s="25" t="str">
        <x:v>Mansoura</x:v>
      </x:c>
      <x:c r="D122" s="25" t="str">
        <x:v>Mit Ghamr</x:v>
      </x:c>
      <x:c r="E122" s="25" t="str">
        <x:v>Aya Farouk</x:v>
      </x:c>
      <x:c r="F122" s="25" t="str">
        <x:v>Sara Gamal</x:v>
      </x:c>
      <x:c r="G122" s="25" t="str">
        <x:v>Small Business</x:v>
      </x:c>
      <x:c r="H122" s="25" t="str">
        <x:v>Website</x:v>
      </x:c>
      <x:c r="I122" s="25" t="str">
        <x:v>Furniture</x:v>
      </x:c>
      <x:c r="J122" s="25" t="str">
        <x:v>Office Chair</x:v>
      </x:c>
      <x:c r="K122" s="25" t="n">
        <x:v>2</x:v>
      </x:c>
      <x:c r="L122" s="26" t="n">
        <x:v>3854</x:v>
      </x:c>
      <x:c r="M122" s="27" t="n">
        <x:v>0.15</x:v>
      </x:c>
      <x:c r="N122" s="26" t="n">
        <x:f>K122*L122</x:f>
        <x:v>7708</x:v>
      </x:c>
      <x:c r="O122" s="26" t="n">
        <x:f>N122*(1-M122)</x:f>
        <x:v>6551.8</x:v>
      </x:c>
      <x:c r="P122" s="26" t="n">
        <x:v>2927</x:v>
      </x:c>
      <x:c r="Q122" s="26" t="n">
        <x:f>K122*P122</x:f>
        <x:v>5854</x:v>
      </x:c>
      <x:c r="R122" s="26" t="n">
        <x:f>O122-Q122</x:f>
        <x:v>697.8000000000002</x:v>
      </x:c>
      <x:c r="S122" s="28" t="n">
        <x:f>IF(O122=0,0,R122/O122)</x:f>
        <x:v>0.10650508257272813</x:v>
      </x:c>
      <x:c r="T122" s="25" t="str">
        <x:v>Credit Card</x:v>
      </x:c>
      <x:c r="U122" s="25" t="str">
        <x:v>Returned</x:v>
      </x:c>
      <x:c r="V122" s="29" t="n">
        <x:v>4</x:v>
      </x:c>
    </x:row>
    <x:row r="123">
      <x:c r="A123" s="23" t="str">
        <x:v>MAN-2025-00122</x:v>
      </x:c>
      <x:c r="B123" s="24" t="n">
        <x:v>45826</x:v>
      </x:c>
      <x:c r="C123" s="25" t="str">
        <x:v>Mansoura</x:v>
      </x:c>
      <x:c r="D123" s="25" t="str">
        <x:v>Aga</x:v>
      </x:c>
      <x:c r="E123" s="25" t="str">
        <x:v>Youssef Fathy</x:v>
      </x:c>
      <x:c r="F123" s="25" t="str">
        <x:v>Youssef Farouk</x:v>
      </x:c>
      <x:c r="G123" s="25" t="str">
        <x:v>Consumer</x:v>
      </x:c>
      <x:c r="H123" s="25" t="str">
        <x:v>Retail Store</x:v>
      </x:c>
      <x:c r="I123" s="25" t="str">
        <x:v>Home Appliances</x:v>
      </x:c>
      <x:c r="J123" s="25" t="str">
        <x:v>Microwave</x:v>
      </x:c>
      <x:c r="K123" s="25" t="n">
        <x:v>2</x:v>
      </x:c>
      <x:c r="L123" s="26" t="n">
        <x:v>5406</x:v>
      </x:c>
      <x:c r="M123" s="27" t="n">
        <x:v>0.1</x:v>
      </x:c>
      <x:c r="N123" s="26" t="n">
        <x:f>K123*L123</x:f>
        <x:v>10812</x:v>
      </x:c>
      <x:c r="O123" s="26" t="n">
        <x:f>N123*(1-M123)</x:f>
        <x:v>9730.800000000001</x:v>
      </x:c>
      <x:c r="P123" s="26" t="n">
        <x:v>4327</x:v>
      </x:c>
      <x:c r="Q123" s="26" t="n">
        <x:f>K123*P123</x:f>
        <x:v>8654</x:v>
      </x:c>
      <x:c r="R123" s="26" t="n">
        <x:f>O123-Q123</x:f>
        <x:v>1076.800000000001</x:v>
      </x:c>
      <x:c r="S123" s="28" t="n">
        <x:f>IF(O123=0,0,R123/O123)</x:f>
        <x:v>0.11065893862786215</x:v>
      </x:c>
      <x:c r="T123" s="25" t="str">
        <x:v>Cash</x:v>
      </x:c>
      <x:c r="U123" s="25" t="str">
        <x:v>Completed</x:v>
      </x:c>
      <x:c r="V123" s="29" t="n">
        <x:v>5</x:v>
      </x:c>
    </x:row>
    <x:row r="124">
      <x:c r="A124" s="23" t="str">
        <x:v>MAN-2025-00123</x:v>
      </x:c>
      <x:c r="B124" s="24" t="n">
        <x:v>45775</x:v>
      </x:c>
      <x:c r="C124" s="25" t="str">
        <x:v>Mansoura</x:v>
      </x:c>
      <x:c r="D124" s="25" t="str">
        <x:v>Aga</x:v>
      </x:c>
      <x:c r="E124" s="25" t="str">
        <x:v>Aya Farouk</x:v>
      </x:c>
      <x:c r="F124" s="25" t="str">
        <x:v>Omar Farouk</x:v>
      </x:c>
      <x:c r="G124" s="25" t="str">
        <x:v>Consumer</x:v>
      </x:c>
      <x:c r="H124" s="25" t="str">
        <x:v>Retail Store</x:v>
      </x:c>
      <x:c r="I124" s="25" t="str">
        <x:v>Furniture</x:v>
      </x:c>
      <x:c r="J124" s="25" t="str">
        <x:v>Office Chair</x:v>
      </x:c>
      <x:c r="K124" s="25" t="n">
        <x:v>6</x:v>
      </x:c>
      <x:c r="L124" s="26" t="n">
        <x:v>3722</x:v>
      </x:c>
      <x:c r="M124" s="27" t="n">
        <x:v>0.1</x:v>
      </x:c>
      <x:c r="N124" s="26" t="n">
        <x:f>K124*L124</x:f>
        <x:v>22332</x:v>
      </x:c>
      <x:c r="O124" s="26" t="n">
        <x:f>N124*(1-M124)</x:f>
        <x:v>20098.8</x:v>
      </x:c>
      <x:c r="P124" s="26" t="n">
        <x:v>2957</x:v>
      </x:c>
      <x:c r="Q124" s="26" t="n">
        <x:f>K124*P124</x:f>
        <x:v>17742</x:v>
      </x:c>
      <x:c r="R124" s="26" t="n">
        <x:f>O124-Q124</x:f>
        <x:v>2356.7999999999993</x:v>
      </x:c>
      <x:c r="S124" s="28" t="n">
        <x:f>IF(O124=0,0,R124/O124)</x:f>
        <x:v>0.11726073198399901</x:v>
      </x:c>
      <x:c r="T124" s="25" t="str">
        <x:v>Credit Card</x:v>
      </x:c>
      <x:c r="U124" s="25" t="str">
        <x:v>Cancelled</x:v>
      </x:c>
      <x:c r="V124" s="29" t="n">
        <x:v>3</x:v>
      </x:c>
    </x:row>
    <x:row r="125">
      <x:c r="A125" s="23" t="str">
        <x:v>MAN-2025-00124</x:v>
      </x:c>
      <x:c r="B125" s="24" t="n">
        <x:v>45945</x:v>
      </x:c>
      <x:c r="C125" s="25" t="str">
        <x:v>Mansoura</x:v>
      </x:c>
      <x:c r="D125" s="25" t="str">
        <x:v>Aga</x:v>
      </x:c>
      <x:c r="E125" s="25" t="str">
        <x:v>Salma Mansour</x:v>
      </x:c>
      <x:c r="F125" s="25" t="str">
        <x:v>Youssef Farouk</x:v>
      </x:c>
      <x:c r="G125" s="25" t="str">
        <x:v>Consumer</x:v>
      </x:c>
      <x:c r="H125" s="25" t="str">
        <x:v>Retail Store</x:v>
      </x:c>
      <x:c r="I125" s="25" t="str">
        <x:v>Office Supplies</x:v>
      </x:c>
      <x:c r="J125" s="25" t="str">
        <x:v>Paper Box</x:v>
      </x:c>
      <x:c r="K125" s="25" t="n">
        <x:v>3</x:v>
      </x:c>
      <x:c r="L125" s="26" t="n">
        <x:v>395</x:v>
      </x:c>
      <x:c r="M125" s="27" t="n">
        <x:v>0.05</x:v>
      </x:c>
      <x:c r="N125" s="26" t="n">
        <x:f>K125*L125</x:f>
        <x:v>1185</x:v>
      </x:c>
      <x:c r="O125" s="26" t="n">
        <x:f>N125*(1-M125)</x:f>
        <x:v>1125.75</x:v>
      </x:c>
      <x:c r="P125" s="26" t="n">
        <x:v>254</x:v>
      </x:c>
      <x:c r="Q125" s="26" t="n">
        <x:f>K125*P125</x:f>
        <x:v>762</x:v>
      </x:c>
      <x:c r="R125" s="26" t="n">
        <x:f>O125-Q125</x:f>
        <x:v>363.75</x:v>
      </x:c>
      <x:c r="S125" s="28" t="n">
        <x:f>IF(O125=0,0,R125/O125)</x:f>
        <x:v>0.32311792138574286</x:v>
      </x:c>
      <x:c r="T125" s="25" t="str">
        <x:v>Debit Card</x:v>
      </x:c>
      <x:c r="U125" s="25" t="str">
        <x:v>Completed</x:v>
      </x:c>
      <x:c r="V125" s="29" t="n">
        <x:v>4</x:v>
      </x:c>
    </x:row>
    <x:row r="126">
      <x:c r="A126" s="23" t="str">
        <x:v>MAN-2025-00125</x:v>
      </x:c>
      <x:c r="B126" s="24" t="n">
        <x:v>45749</x:v>
      </x:c>
      <x:c r="C126" s="25" t="str">
        <x:v>Mansoura</x:v>
      </x:c>
      <x:c r="D126" s="25" t="str">
        <x:v>Aga</x:v>
      </x:c>
      <x:c r="E126" s="25" t="str">
        <x:v>Ali Sayed</x:v>
      </x:c>
      <x:c r="F126" s="25" t="str">
        <x:v>Amr Sayed</x:v>
      </x:c>
      <x:c r="G126" s="25" t="str">
        <x:v>Consumer</x:v>
      </x:c>
      <x:c r="H126" s="25" t="str">
        <x:v>Mobile App</x:v>
      </x:c>
      <x:c r="I126" s="25" t="str">
        <x:v>Home Appliances</x:v>
      </x:c>
      <x:c r="J126" s="25" t="str">
        <x:v>Washing Machine</x:v>
      </x:c>
      <x:c r="K126" s="25" t="n">
        <x:v>1</x:v>
      </x:c>
      <x:c r="L126" s="26" t="n">
        <x:v>17176</x:v>
      </x:c>
      <x:c r="M126" s="27" t="n">
        <x:v>0.1</x:v>
      </x:c>
      <x:c r="N126" s="26" t="n">
        <x:f>K126*L126</x:f>
        <x:v>17176</x:v>
      </x:c>
      <x:c r="O126" s="26" t="n">
        <x:f>N126*(1-M126)</x:f>
        <x:v>15458.4</x:v>
      </x:c>
      <x:c r="P126" s="26" t="n">
        <x:v>13703</x:v>
      </x:c>
      <x:c r="Q126" s="26" t="n">
        <x:f>K126*P126</x:f>
        <x:v>13703</x:v>
      </x:c>
      <x:c r="R126" s="26" t="n">
        <x:f>O126-Q126</x:f>
        <x:v>1755.3999999999996</x:v>
      </x:c>
      <x:c r="S126" s="28" t="n">
        <x:f>IF(O126=0,0,R126/O126)</x:f>
        <x:v>0.11355638358432954</x:v>
      </x:c>
      <x:c r="T126" s="25" t="str">
        <x:v>Debit Card</x:v>
      </x:c>
      <x:c r="U126" s="25" t="str">
        <x:v>Completed</x:v>
      </x:c>
      <x:c r="V126" s="29" t="n">
        <x:v>5</x:v>
      </x:c>
    </x:row>
    <x:row r="127">
      <x:c r="A127" s="23" t="str">
        <x:v>MAN-2025-00126</x:v>
      </x:c>
      <x:c r="B127" s="24" t="n">
        <x:v>45665</x:v>
      </x:c>
      <x:c r="C127" s="25" t="str">
        <x:v>Mansoura</x:v>
      </x:c>
      <x:c r="D127" s="25" t="str">
        <x:v>Sherbin</x:v>
      </x:c>
      <x:c r="E127" s="25" t="str">
        <x:v>Youssef Fathy</x:v>
      </x:c>
      <x:c r="F127" s="25" t="str">
        <x:v>Aya Tarek</x:v>
      </x:c>
      <x:c r="G127" s="25" t="str">
        <x:v>Corporate</x:v>
      </x:c>
      <x:c r="H127" s="25" t="str">
        <x:v>Phone Order</x:v>
      </x:c>
      <x:c r="I127" s="25" t="str">
        <x:v>Furniture</x:v>
      </x:c>
      <x:c r="J127" s="25" t="str">
        <x:v>Desk</x:v>
      </x:c>
      <x:c r="K127" s="25" t="n">
        <x:v>2</x:v>
      </x:c>
      <x:c r="L127" s="26" t="n">
        <x:v>4871</x:v>
      </x:c>
      <x:c r="M127" s="27" t="n">
        <x:v>0.05</x:v>
      </x:c>
      <x:c r="N127" s="26" t="n">
        <x:f>K127*L127</x:f>
        <x:v>9742</x:v>
      </x:c>
      <x:c r="O127" s="26" t="n">
        <x:f>N127*(1-M127)</x:f>
        <x:v>9254.9</x:v>
      </x:c>
      <x:c r="P127" s="26" t="n">
        <x:v>3831</x:v>
      </x:c>
      <x:c r="Q127" s="26" t="n">
        <x:f>K127*P127</x:f>
        <x:v>7662</x:v>
      </x:c>
      <x:c r="R127" s="26" t="n">
        <x:f>O127-Q127</x:f>
        <x:v>1592.8999999999996</x:v>
      </x:c>
      <x:c r="S127" s="28" t="n">
        <x:f>IF(O127=0,0,R127/O127)</x:f>
        <x:v>0.17211423138013374</x:v>
      </x:c>
      <x:c r="T127" s="25" t="str">
        <x:v>Bank Transfer</x:v>
      </x:c>
      <x:c r="U127" s="25" t="str">
        <x:v>Completed</x:v>
      </x:c>
      <x:c r="V127" s="29" t="n">
        <x:v>5</x:v>
      </x:c>
    </x:row>
    <x:row r="128">
      <x:c r="A128" s="23" t="str">
        <x:v>MAN-2025-00127</x:v>
      </x:c>
      <x:c r="B128" s="24" t="n">
        <x:v>45694</x:v>
      </x:c>
      <x:c r="C128" s="25" t="str">
        <x:v>Mansoura</x:v>
      </x:c>
      <x:c r="D128" s="25" t="str">
        <x:v>Sherbin</x:v>
      </x:c>
      <x:c r="E128" s="25" t="str">
        <x:v>Youssef Fathy</x:v>
      </x:c>
      <x:c r="F128" s="25" t="str">
        <x:v>Ahmed Sayed</x:v>
      </x:c>
      <x:c r="G128" s="25" t="str">
        <x:v>Consumer</x:v>
      </x:c>
      <x:c r="H128" s="25" t="str">
        <x:v>Mobile App</x:v>
      </x:c>
      <x:c r="I128" s="25" t="str">
        <x:v>Office Supplies</x:v>
      </x:c>
      <x:c r="J128" s="25" t="str">
        <x:v>Paper Box</x:v>
      </x:c>
      <x:c r="K128" s="25" t="n">
        <x:v>5</x:v>
      </x:c>
      <x:c r="L128" s="26" t="n">
        <x:v>383</x:v>
      </x:c>
      <x:c r="M128" s="27" t="n">
        <x:v>0</x:v>
      </x:c>
      <x:c r="N128" s="26" t="n">
        <x:f>K128*L128</x:f>
        <x:v>1915</x:v>
      </x:c>
      <x:c r="O128" s="26" t="n">
        <x:f>N128*(1-M128)</x:f>
        <x:v>1915</x:v>
      </x:c>
      <x:c r="P128" s="26" t="n">
        <x:v>252</x:v>
      </x:c>
      <x:c r="Q128" s="26" t="n">
        <x:f>K128*P128</x:f>
        <x:v>1260</x:v>
      </x:c>
      <x:c r="R128" s="26" t="n">
        <x:f>O128-Q128</x:f>
        <x:v>655</x:v>
      </x:c>
      <x:c r="S128" s="28" t="n">
        <x:f>IF(O128=0,0,R128/O128)</x:f>
        <x:v>0.34203655352480417</x:v>
      </x:c>
      <x:c r="T128" s="25" t="str">
        <x:v>Debit Card</x:v>
      </x:c>
      <x:c r="U128" s="25" t="str">
        <x:v>Completed</x:v>
      </x:c>
      <x:c r="V128" s="29" t="n">
        <x:v>4</x:v>
      </x:c>
    </x:row>
    <x:row r="129">
      <x:c r="A129" s="23" t="str">
        <x:v>MAN-2025-00128</x:v>
      </x:c>
      <x:c r="B129" s="24" t="n">
        <x:v>46002</x:v>
      </x:c>
      <x:c r="C129" s="25" t="str">
        <x:v>Mansoura</x:v>
      </x:c>
      <x:c r="D129" s="25" t="str">
        <x:v>Mansoura City</x:v>
      </x:c>
      <x:c r="E129" s="25" t="str">
        <x:v>Salma Mansour</x:v>
      </x:c>
      <x:c r="F129" s="25" t="str">
        <x:v>Mariam Sayed</x:v>
      </x:c>
      <x:c r="G129" s="25" t="str">
        <x:v>Consumer</x:v>
      </x:c>
      <x:c r="H129" s="25" t="str">
        <x:v>Website</x:v>
      </x:c>
      <x:c r="I129" s="25" t="str">
        <x:v>Office Supplies</x:v>
      </x:c>
      <x:c r="J129" s="25" t="str">
        <x:v>Calculator</x:v>
      </x:c>
      <x:c r="K129" s="25" t="n">
        <x:v>6</x:v>
      </x:c>
      <x:c r="L129" s="26" t="n">
        <x:v>425</x:v>
      </x:c>
      <x:c r="M129" s="27" t="n">
        <x:v>0.05</x:v>
      </x:c>
      <x:c r="N129" s="26" t="n">
        <x:f>K129*L129</x:f>
        <x:v>2550</x:v>
      </x:c>
      <x:c r="O129" s="26" t="n">
        <x:f>N129*(1-M129)</x:f>
        <x:v>2422.5</x:v>
      </x:c>
      <x:c r="P129" s="26" t="n">
        <x:v>278</x:v>
      </x:c>
      <x:c r="Q129" s="26" t="n">
        <x:f>K129*P129</x:f>
        <x:v>1668</x:v>
      </x:c>
      <x:c r="R129" s="26" t="n">
        <x:f>O129-Q129</x:f>
        <x:v>754.5</x:v>
      </x:c>
      <x:c r="S129" s="28" t="n">
        <x:f>IF(O129=0,0,R129/O129)</x:f>
        <x:v>0.31145510835913315</x:v>
      </x:c>
      <x:c r="T129" s="25" t="str">
        <x:v>Credit Card</x:v>
      </x:c>
      <x:c r="U129" s="25" t="str">
        <x:v>Completed</x:v>
      </x:c>
      <x:c r="V129" s="29" t="n">
        <x:v>4</x:v>
      </x:c>
    </x:row>
    <x:row r="130">
      <x:c r="A130" s="23" t="str">
        <x:v>MAN-2025-00129</x:v>
      </x:c>
      <x:c r="B130" s="24" t="n">
        <x:v>45740</x:v>
      </x:c>
      <x:c r="C130" s="25" t="str">
        <x:v>Mansoura</x:v>
      </x:c>
      <x:c r="D130" s="25" t="str">
        <x:v>Mansoura City</x:v>
      </x:c>
      <x:c r="E130" s="25" t="str">
        <x:v>Aya Farouk</x:v>
      </x:c>
      <x:c r="F130" s="25" t="str">
        <x:v>Farah Mansour</x:v>
      </x:c>
      <x:c r="G130" s="25" t="str">
        <x:v>Consumer</x:v>
      </x:c>
      <x:c r="H130" s="25" t="str">
        <x:v>Website</x:v>
      </x:c>
      <x:c r="I130" s="25" t="str">
        <x:v>Furniture</x:v>
      </x:c>
      <x:c r="J130" s="25" t="str">
        <x:v>Desk</x:v>
      </x:c>
      <x:c r="K130" s="25" t="n">
        <x:v>5</x:v>
      </x:c>
      <x:c r="L130" s="26" t="n">
        <x:v>5305</x:v>
      </x:c>
      <x:c r="M130" s="27" t="n">
        <x:v>0</x:v>
      </x:c>
      <x:c r="N130" s="26" t="n">
        <x:f>K130*L130</x:f>
        <x:v>26525</x:v>
      </x:c>
      <x:c r="O130" s="26" t="n">
        <x:f>N130*(1-M130)</x:f>
        <x:v>26525</x:v>
      </x:c>
      <x:c r="P130" s="26" t="n">
        <x:v>3837</x:v>
      </x:c>
      <x:c r="Q130" s="26" t="n">
        <x:f>K130*P130</x:f>
        <x:v>19185</x:v>
      </x:c>
      <x:c r="R130" s="26" t="n">
        <x:f>O130-Q130</x:f>
        <x:v>7340</x:v>
      </x:c>
      <x:c r="S130" s="28" t="n">
        <x:f>IF(O130=0,0,R130/O130)</x:f>
        <x:v>0.2767200754005655</x:v>
      </x:c>
      <x:c r="T130" s="25" t="str">
        <x:v>Debit Card</x:v>
      </x:c>
      <x:c r="U130" s="25" t="str">
        <x:v>Completed</x:v>
      </x:c>
      <x:c r="V130" s="29" t="n">
        <x:v>4</x:v>
      </x:c>
    </x:row>
    <x:row r="131">
      <x:c r="A131" s="23" t="str">
        <x:v>MAN-2025-00130</x:v>
      </x:c>
      <x:c r="B131" s="24" t="n">
        <x:v>45901</x:v>
      </x:c>
      <x:c r="C131" s="25" t="str">
        <x:v>Mansoura</x:v>
      </x:c>
      <x:c r="D131" s="25" t="str">
        <x:v>Mit Ghamr</x:v>
      </x:c>
      <x:c r="E131" s="25" t="str">
        <x:v>Salma Mansour</x:v>
      </x:c>
      <x:c r="F131" s="25" t="str">
        <x:v>Salma Tarek</x:v>
      </x:c>
      <x:c r="G131" s="25" t="str">
        <x:v>Consumer</x:v>
      </x:c>
      <x:c r="H131" s="25" t="str">
        <x:v>Retail Store</x:v>
      </x:c>
      <x:c r="I131" s="25" t="str">
        <x:v>Furniture</x:v>
      </x:c>
      <x:c r="J131" s="25" t="str">
        <x:v>Office Chair</x:v>
      </x:c>
      <x:c r="K131" s="25" t="n">
        <x:v>5</x:v>
      </x:c>
      <x:c r="L131" s="26" t="n">
        <x:v>3657</x:v>
      </x:c>
      <x:c r="M131" s="27" t="n">
        <x:v>0.1</x:v>
      </x:c>
      <x:c r="N131" s="26" t="n">
        <x:f>K131*L131</x:f>
        <x:v>18285</x:v>
      </x:c>
      <x:c r="O131" s="26" t="n">
        <x:f>N131*(1-M131)</x:f>
        <x:v>16456.5</x:v>
      </x:c>
      <x:c r="P131" s="26" t="n">
        <x:v>2771</x:v>
      </x:c>
      <x:c r="Q131" s="26" t="n">
        <x:f>K131*P131</x:f>
        <x:v>13855</x:v>
      </x:c>
      <x:c r="R131" s="26" t="n">
        <x:f>O131-Q131</x:f>
        <x:v>2601.5</x:v>
      </x:c>
      <x:c r="S131" s="28" t="n">
        <x:f>IF(O131=0,0,R131/O131)</x:f>
        <x:v>0.15808343207851</x:v>
      </x:c>
      <x:c r="T131" s="25" t="str">
        <x:v>Digital Wallet</x:v>
      </x:c>
      <x:c r="U131" s="25" t="str">
        <x:v>Returned</x:v>
      </x:c>
      <x:c r="V131" s="29" t="n">
        <x:v>5</x:v>
      </x:c>
    </x:row>
    <x:row r="132">
      <x:c r="A132" s="23" t="str">
        <x:v>MAN-2025-00131</x:v>
      </x:c>
      <x:c r="B132" s="24" t="n">
        <x:v>45833</x:v>
      </x:c>
      <x:c r="C132" s="25" t="str">
        <x:v>Mansoura</x:v>
      </x:c>
      <x:c r="D132" s="25" t="str">
        <x:v>Mansoura City</x:v>
      </x:c>
      <x:c r="E132" s="25" t="str">
        <x:v>Youssef Fathy</x:v>
      </x:c>
      <x:c r="F132" s="25" t="str">
        <x:v>Karim Nasser</x:v>
      </x:c>
      <x:c r="G132" s="25" t="str">
        <x:v>Small Business</x:v>
      </x:c>
      <x:c r="H132" s="25" t="str">
        <x:v>Mobile App</x:v>
      </x:c>
      <x:c r="I132" s="25" t="str">
        <x:v>Office Supplies</x:v>
      </x:c>
      <x:c r="J132" s="25" t="str">
        <x:v>Paper Box</x:v>
      </x:c>
      <x:c r="K132" s="25" t="n">
        <x:v>6</x:v>
      </x:c>
      <x:c r="L132" s="26" t="n">
        <x:v>383</x:v>
      </x:c>
      <x:c r="M132" s="27" t="n">
        <x:v>0</x:v>
      </x:c>
      <x:c r="N132" s="26" t="n">
        <x:f>K132*L132</x:f>
        <x:v>2298</x:v>
      </x:c>
      <x:c r="O132" s="26" t="n">
        <x:f>N132*(1-M132)</x:f>
        <x:v>2298</x:v>
      </x:c>
      <x:c r="P132" s="26" t="n">
        <x:v>262</x:v>
      </x:c>
      <x:c r="Q132" s="26" t="n">
        <x:f>K132*P132</x:f>
        <x:v>1572</x:v>
      </x:c>
      <x:c r="R132" s="26" t="n">
        <x:f>O132-Q132</x:f>
        <x:v>726</x:v>
      </x:c>
      <x:c r="S132" s="28" t="n">
        <x:f>IF(O132=0,0,R132/O132)</x:f>
        <x:v>0.31592689295039167</x:v>
      </x:c>
      <x:c r="T132" s="25" t="str">
        <x:v>Credit Card</x:v>
      </x:c>
      <x:c r="U132" s="25" t="str">
        <x:v>Completed</x:v>
      </x:c>
      <x:c r="V132" s="29" t="n">
        <x:v>4</x:v>
      </x:c>
    </x:row>
    <x:row r="133">
      <x:c r="A133" s="23" t="str">
        <x:v>MAN-2025-00132</x:v>
      </x:c>
      <x:c r="B133" s="24" t="n">
        <x:v>45937</x:v>
      </x:c>
      <x:c r="C133" s="25" t="str">
        <x:v>Mansoura</x:v>
      </x:c>
      <x:c r="D133" s="25" t="str">
        <x:v>Sherbin</x:v>
      </x:c>
      <x:c r="E133" s="25" t="str">
        <x:v>Ali Sayed</x:v>
      </x:c>
      <x:c r="F133" s="25" t="str">
        <x:v>Mariam Adel</x:v>
      </x:c>
      <x:c r="G133" s="25" t="str">
        <x:v>Consumer</x:v>
      </x:c>
      <x:c r="H133" s="25" t="str">
        <x:v>Retail Store</x:v>
      </x:c>
      <x:c r="I133" s="25" t="str">
        <x:v>Office Supplies</x:v>
      </x:c>
      <x:c r="J133" s="25" t="str">
        <x:v>Paper Box</x:v>
      </x:c>
      <x:c r="K133" s="25" t="n">
        <x:v>1</x:v>
      </x:c>
      <x:c r="L133" s="26" t="n">
        <x:v>360</x:v>
      </x:c>
      <x:c r="M133" s="27" t="n">
        <x:v>0</x:v>
      </x:c>
      <x:c r="N133" s="26" t="n">
        <x:f>K133*L133</x:f>
        <x:v>360</x:v>
      </x:c>
      <x:c r="O133" s="26" t="n">
        <x:f>N133*(1-M133)</x:f>
        <x:v>360</x:v>
      </x:c>
      <x:c r="P133" s="26" t="n">
        <x:v>261</x:v>
      </x:c>
      <x:c r="Q133" s="26" t="n">
        <x:f>K133*P133</x:f>
        <x:v>261</x:v>
      </x:c>
      <x:c r="R133" s="26" t="n">
        <x:f>O133-Q133</x:f>
        <x:v>99</x:v>
      </x:c>
      <x:c r="S133" s="28" t="n">
        <x:f>IF(O133=0,0,R133/O133)</x:f>
        <x:v>0.275</x:v>
      </x:c>
      <x:c r="T133" s="25" t="str">
        <x:v>Cash</x:v>
      </x:c>
      <x:c r="U133" s="25" t="str">
        <x:v>Cancelled</x:v>
      </x:c>
      <x:c r="V133" s="29" t="n">
        <x:v>5</x:v>
      </x:c>
    </x:row>
    <x:row r="134">
      <x:c r="A134" s="23" t="str">
        <x:v>MAN-2025-00133</x:v>
      </x:c>
      <x:c r="B134" s="24" t="n">
        <x:v>46002</x:v>
      </x:c>
      <x:c r="C134" s="25" t="str">
        <x:v>Mansoura</x:v>
      </x:c>
      <x:c r="D134" s="25" t="str">
        <x:v>Talkha</x:v>
      </x:c>
      <x:c r="E134" s="25" t="str">
        <x:v>Ali Sayed</x:v>
      </x:c>
      <x:c r="F134" s="25" t="str">
        <x:v>Mohamed Farouk</x:v>
      </x:c>
      <x:c r="G134" s="25" t="str">
        <x:v>Corporate</x:v>
      </x:c>
      <x:c r="H134" s="25" t="str">
        <x:v>Website</x:v>
      </x:c>
      <x:c r="I134" s="25" t="str">
        <x:v>Electronics</x:v>
      </x:c>
      <x:c r="J134" s="25" t="str">
        <x:v>Smartphone</x:v>
      </x:c>
      <x:c r="K134" s="25" t="n">
        <x:v>2</x:v>
      </x:c>
      <x:c r="L134" s="26" t="n">
        <x:v>12935</x:v>
      </x:c>
      <x:c r="M134" s="27" t="n">
        <x:v>0.05</x:v>
      </x:c>
      <x:c r="N134" s="26" t="n">
        <x:f>K134*L134</x:f>
        <x:v>25870</x:v>
      </x:c>
      <x:c r="O134" s="26" t="n">
        <x:f>N134*(1-M134)</x:f>
        <x:v>24576.5</x:v>
      </x:c>
      <x:c r="P134" s="26" t="n">
        <x:v>10515</x:v>
      </x:c>
      <x:c r="Q134" s="26" t="n">
        <x:f>K134*P134</x:f>
        <x:v>21030</x:v>
      </x:c>
      <x:c r="R134" s="26" t="n">
        <x:f>O134-Q134</x:f>
        <x:v>3546.5</x:v>
      </x:c>
      <x:c r="S134" s="28" t="n">
        <x:f>IF(O134=0,0,R134/O134)</x:f>
        <x:v>0.1443045185441377</x:v>
      </x:c>
      <x:c r="T134" s="25" t="str">
        <x:v>Debit Card</x:v>
      </x:c>
      <x:c r="U134" s="25" t="str">
        <x:v>Completed</x:v>
      </x:c>
      <x:c r="V134" s="29" t="n">
        <x:v>4</x:v>
      </x:c>
    </x:row>
    <x:row r="135">
      <x:c r="A135" s="23" t="str">
        <x:v>MAN-2025-00134</x:v>
      </x:c>
      <x:c r="B135" s="24" t="n">
        <x:v>45781</x:v>
      </x:c>
      <x:c r="C135" s="25" t="str">
        <x:v>Mansoura</x:v>
      </x:c>
      <x:c r="D135" s="25" t="str">
        <x:v>Mit Ghamr</x:v>
      </x:c>
      <x:c r="E135" s="25" t="str">
        <x:v>Ali Sayed</x:v>
      </x:c>
      <x:c r="F135" s="25" t="str">
        <x:v>Mohamed Gamal</x:v>
      </x:c>
      <x:c r="G135" s="25" t="str">
        <x:v>Consumer</x:v>
      </x:c>
      <x:c r="H135" s="25" t="str">
        <x:v>Retail Store</x:v>
      </x:c>
      <x:c r="I135" s="25" t="str">
        <x:v>Furniture</x:v>
      </x:c>
      <x:c r="J135" s="25" t="str">
        <x:v>Office Chair</x:v>
      </x:c>
      <x:c r="K135" s="25" t="n">
        <x:v>5</x:v>
      </x:c>
      <x:c r="L135" s="26" t="n">
        <x:v>4058</x:v>
      </x:c>
      <x:c r="M135" s="27" t="n">
        <x:v>0</x:v>
      </x:c>
      <x:c r="N135" s="26" t="n">
        <x:f>K135*L135</x:f>
        <x:v>20290</x:v>
      </x:c>
      <x:c r="O135" s="26" t="n">
        <x:f>N135*(1-M135)</x:f>
        <x:v>20290</x:v>
      </x:c>
      <x:c r="P135" s="26" t="n">
        <x:v>2811</x:v>
      </x:c>
      <x:c r="Q135" s="26" t="n">
        <x:f>K135*P135</x:f>
        <x:v>14055</x:v>
      </x:c>
      <x:c r="R135" s="26" t="n">
        <x:f>O135-Q135</x:f>
        <x:v>6235</x:v>
      </x:c>
      <x:c r="S135" s="28" t="n">
        <x:f>IF(O135=0,0,R135/O135)</x:f>
        <x:v>0.30729423361261704</x:v>
      </x:c>
      <x:c r="T135" s="25" t="str">
        <x:v>Cash</x:v>
      </x:c>
      <x:c r="U135" s="25" t="str">
        <x:v>Completed</x:v>
      </x:c>
      <x:c r="V135" s="29" t="n">
        <x:v>3</x:v>
      </x:c>
    </x:row>
    <x:row r="136">
      <x:c r="A136" s="23" t="str">
        <x:v>MAN-2025-00135</x:v>
      </x:c>
      <x:c r="B136" s="24" t="n">
        <x:v>45836</x:v>
      </x:c>
      <x:c r="C136" s="25" t="str">
        <x:v>Mansoura</x:v>
      </x:c>
      <x:c r="D136" s="25" t="str">
        <x:v>Sherbin</x:v>
      </x:c>
      <x:c r="E136" s="25" t="str">
        <x:v>Ali Sayed</x:v>
      </x:c>
      <x:c r="F136" s="25" t="str">
        <x:v>Hana Fathy</x:v>
      </x:c>
      <x:c r="G136" s="25" t="str">
        <x:v>Corporate</x:v>
      </x:c>
      <x:c r="H136" s="25" t="str">
        <x:v>Mobile App</x:v>
      </x:c>
      <x:c r="I136" s="25" t="str">
        <x:v>Furniture</x:v>
      </x:c>
      <x:c r="J136" s="25" t="str">
        <x:v>Sofa</x:v>
      </x:c>
      <x:c r="K136" s="25" t="n">
        <x:v>4</x:v>
      </x:c>
      <x:c r="L136" s="26" t="n">
        <x:v>13254</x:v>
      </x:c>
      <x:c r="M136" s="27" t="n">
        <x:v>0</x:v>
      </x:c>
      <x:c r="N136" s="26" t="n">
        <x:f>K136*L136</x:f>
        <x:v>53016</x:v>
      </x:c>
      <x:c r="O136" s="26" t="n">
        <x:f>N136*(1-M136)</x:f>
        <x:v>53016</x:v>
      </x:c>
      <x:c r="P136" s="26" t="n">
        <x:v>11126</x:v>
      </x:c>
      <x:c r="Q136" s="26" t="n">
        <x:f>K136*P136</x:f>
        <x:v>44504</x:v>
      </x:c>
      <x:c r="R136" s="26" t="n">
        <x:f>O136-Q136</x:f>
        <x:v>8512</x:v>
      </x:c>
      <x:c r="S136" s="28" t="n">
        <x:f>IF(O136=0,0,R136/O136)</x:f>
        <x:v>0.16055530405915194</x:v>
      </x:c>
      <x:c r="T136" s="25" t="str">
        <x:v>Bank Transfer</x:v>
      </x:c>
      <x:c r="U136" s="25" t="str">
        <x:v>Completed</x:v>
      </x:c>
      <x:c r="V136" s="29" t="n">
        <x:v>5</x:v>
      </x:c>
    </x:row>
    <x:row r="137">
      <x:c r="A137" s="23" t="str">
        <x:v>MAN-2025-00136</x:v>
      </x:c>
      <x:c r="B137" s="24" t="n">
        <x:v>45673</x:v>
      </x:c>
      <x:c r="C137" s="25" t="str">
        <x:v>Mansoura</x:v>
      </x:c>
      <x:c r="D137" s="25" t="str">
        <x:v>Sherbin</x:v>
      </x:c>
      <x:c r="E137" s="25" t="str">
        <x:v>Youssef Fathy</x:v>
      </x:c>
      <x:c r="F137" s="25" t="str">
        <x:v>Sara Khalil</x:v>
      </x:c>
      <x:c r="G137" s="25" t="str">
        <x:v>Corporate</x:v>
      </x:c>
      <x:c r="H137" s="25" t="str">
        <x:v>Retail Store</x:v>
      </x:c>
      <x:c r="I137" s="25" t="str">
        <x:v>Furniture</x:v>
      </x:c>
      <x:c r="J137" s="25" t="str">
        <x:v>Sofa</x:v>
      </x:c>
      <x:c r="K137" s="25" t="n">
        <x:v>1</x:v>
      </x:c>
      <x:c r="L137" s="26" t="n">
        <x:v>14001</x:v>
      </x:c>
      <x:c r="M137" s="27" t="n">
        <x:v>0</x:v>
      </x:c>
      <x:c r="N137" s="26" t="n">
        <x:f>K137*L137</x:f>
        <x:v>14001</x:v>
      </x:c>
      <x:c r="O137" s="26" t="n">
        <x:f>N137*(1-M137)</x:f>
        <x:v>14001</x:v>
      </x:c>
      <x:c r="P137" s="26" t="n">
        <x:v>11105</x:v>
      </x:c>
      <x:c r="Q137" s="26" t="n">
        <x:f>K137*P137</x:f>
        <x:v>11105</x:v>
      </x:c>
      <x:c r="R137" s="26" t="n">
        <x:f>O137-Q137</x:f>
        <x:v>2896</x:v>
      </x:c>
      <x:c r="S137" s="28" t="n">
        <x:f>IF(O137=0,0,R137/O137)</x:f>
        <x:v>0.20684236840225698</x:v>
      </x:c>
      <x:c r="T137" s="25" t="str">
        <x:v>Credit Card</x:v>
      </x:c>
      <x:c r="U137" s="25" t="str">
        <x:v>Completed</x:v>
      </x:c>
      <x:c r="V137" s="29" t="n">
        <x:v>5</x:v>
      </x:c>
    </x:row>
    <x:row r="138">
      <x:c r="A138" s="23" t="str">
        <x:v>MAN-2025-00137</x:v>
      </x:c>
      <x:c r="B138" s="24" t="n">
        <x:v>45850</x:v>
      </x:c>
      <x:c r="C138" s="25" t="str">
        <x:v>Mansoura</x:v>
      </x:c>
      <x:c r="D138" s="25" t="str">
        <x:v>Talkha</x:v>
      </x:c>
      <x:c r="E138" s="25" t="str">
        <x:v>Youssef Fathy</x:v>
      </x:c>
      <x:c r="F138" s="25" t="str">
        <x:v>Youssef Ibrahim</x:v>
      </x:c>
      <x:c r="G138" s="25" t="str">
        <x:v>Consumer</x:v>
      </x:c>
      <x:c r="H138" s="25" t="str">
        <x:v>Retail Store</x:v>
      </x:c>
      <x:c r="I138" s="25" t="str">
        <x:v>Home Appliances</x:v>
      </x:c>
      <x:c r="J138" s="25" t="str">
        <x:v>Blender</x:v>
      </x:c>
      <x:c r="K138" s="25" t="n">
        <x:v>5</x:v>
      </x:c>
      <x:c r="L138" s="26" t="n">
        <x:v>1639</x:v>
      </x:c>
      <x:c r="M138" s="27" t="n">
        <x:v>0.1</x:v>
      </x:c>
      <x:c r="N138" s="26" t="n">
        <x:f>K138*L138</x:f>
        <x:v>8195</x:v>
      </x:c>
      <x:c r="O138" s="26" t="n">
        <x:f>N138*(1-M138)</x:f>
        <x:v>7375.5</x:v>
      </x:c>
      <x:c r="P138" s="26" t="n">
        <x:v>1285</x:v>
      </x:c>
      <x:c r="Q138" s="26" t="n">
        <x:f>K138*P138</x:f>
        <x:v>6425</x:v>
      </x:c>
      <x:c r="R138" s="26" t="n">
        <x:f>O138-Q138</x:f>
        <x:v>950.5</x:v>
      </x:c>
      <x:c r="S138" s="28" t="n">
        <x:f>IF(O138=0,0,R138/O138)</x:f>
        <x:v>0.1288726188055047</x:v>
      </x:c>
      <x:c r="T138" s="25" t="str">
        <x:v>Digital Wallet</x:v>
      </x:c>
      <x:c r="U138" s="25" t="str">
        <x:v>Completed</x:v>
      </x:c>
      <x:c r="V138" s="29" t="n">
        <x:v>5</x:v>
      </x:c>
    </x:row>
    <x:row r="139">
      <x:c r="A139" s="23" t="str">
        <x:v>MAN-2025-00138</x:v>
      </x:c>
      <x:c r="B139" s="24" t="n">
        <x:v>45992</x:v>
      </x:c>
      <x:c r="C139" s="25" t="str">
        <x:v>Mansoura</x:v>
      </x:c>
      <x:c r="D139" s="25" t="str">
        <x:v>Mit Ghamr</x:v>
      </x:c>
      <x:c r="E139" s="25" t="str">
        <x:v>Salma Mansour</x:v>
      </x:c>
      <x:c r="F139" s="25" t="str">
        <x:v>Mariam Ibrahim</x:v>
      </x:c>
      <x:c r="G139" s="25" t="str">
        <x:v>Corporate</x:v>
      </x:c>
      <x:c r="H139" s="25" t="str">
        <x:v>Retail Store</x:v>
      </x:c>
      <x:c r="I139" s="25" t="str">
        <x:v>Office Supplies</x:v>
      </x:c>
      <x:c r="J139" s="25" t="str">
        <x:v>Printer</x:v>
      </x:c>
      <x:c r="K139" s="25" t="n">
        <x:v>4</x:v>
      </x:c>
      <x:c r="L139" s="26" t="n">
        <x:v>6956</x:v>
      </x:c>
      <x:c r="M139" s="27" t="n">
        <x:v>0.05</x:v>
      </x:c>
      <x:c r="N139" s="26" t="n">
        <x:f>K139*L139</x:f>
        <x:v>27824</x:v>
      </x:c>
      <x:c r="O139" s="26" t="n">
        <x:f>N139*(1-M139)</x:f>
        <x:v>26432.8</x:v>
      </x:c>
      <x:c r="P139" s="26" t="n">
        <x:v>5228</x:v>
      </x:c>
      <x:c r="Q139" s="26" t="n">
        <x:f>K139*P139</x:f>
        <x:v>20912</x:v>
      </x:c>
      <x:c r="R139" s="26" t="n">
        <x:f>O139-Q139</x:f>
        <x:v>5520.799999999999</x:v>
      </x:c>
      <x:c r="S139" s="28" t="n">
        <x:f>IF(O139=0,0,R139/O139)</x:f>
        <x:v>0.20886171726037345</x:v>
      </x:c>
      <x:c r="T139" s="25" t="str">
        <x:v>Credit Card</x:v>
      </x:c>
      <x:c r="U139" s="25" t="str">
        <x:v>Completed</x:v>
      </x:c>
      <x:c r="V139" s="29" t="n">
        <x:v>4</x:v>
      </x:c>
    </x:row>
    <x:row r="140">
      <x:c r="A140" s="23" t="str">
        <x:v>MAN-2025-00139</x:v>
      </x:c>
      <x:c r="B140" s="24" t="n">
        <x:v>45693</x:v>
      </x:c>
      <x:c r="C140" s="25" t="str">
        <x:v>Mansoura</x:v>
      </x:c>
      <x:c r="D140" s="25" t="str">
        <x:v>Talkha</x:v>
      </x:c>
      <x:c r="E140" s="25" t="str">
        <x:v>Aya Farouk</x:v>
      </x:c>
      <x:c r="F140" s="25" t="str">
        <x:v>Amr Ibrahim</x:v>
      </x:c>
      <x:c r="G140" s="25" t="str">
        <x:v>Consumer</x:v>
      </x:c>
      <x:c r="H140" s="25" t="str">
        <x:v>Website</x:v>
      </x:c>
      <x:c r="I140" s="25" t="str">
        <x:v>Furniture</x:v>
      </x:c>
      <x:c r="J140" s="25" t="str">
        <x:v>Desk</x:v>
      </x:c>
      <x:c r="K140" s="25" t="n">
        <x:v>3</x:v>
      </x:c>
      <x:c r="L140" s="26" t="n">
        <x:v>4871</x:v>
      </x:c>
      <x:c r="M140" s="27" t="n">
        <x:v>0.1</x:v>
      </x:c>
      <x:c r="N140" s="26" t="n">
        <x:f>K140*L140</x:f>
        <x:v>14613</x:v>
      </x:c>
      <x:c r="O140" s="26" t="n">
        <x:f>N140*(1-M140)</x:f>
        <x:v>13151.7</x:v>
      </x:c>
      <x:c r="P140" s="26" t="n">
        <x:v>4050</x:v>
      </x:c>
      <x:c r="Q140" s="26" t="n">
        <x:f>K140*P140</x:f>
        <x:v>12150</x:v>
      </x:c>
      <x:c r="R140" s="26" t="n">
        <x:f>O140-Q140</x:f>
        <x:v>1001.7000000000007</x:v>
      </x:c>
      <x:c r="S140" s="28" t="n">
        <x:f>IF(O140=0,0,R140/O140)</x:f>
        <x:v>0.07616505850954634</x:v>
      </x:c>
      <x:c r="T140" s="25" t="str">
        <x:v>Credit Card</x:v>
      </x:c>
      <x:c r="U140" s="25" t="str">
        <x:v>Returned</x:v>
      </x:c>
      <x:c r="V140" s="29" t="n">
        <x:v>4</x:v>
      </x:c>
    </x:row>
    <x:row r="141">
      <x:c r="A141" s="23" t="str">
        <x:v>MAN-2025-00140</x:v>
      </x:c>
      <x:c r="B141" s="24" t="n">
        <x:v>45787</x:v>
      </x:c>
      <x:c r="C141" s="25" t="str">
        <x:v>Mansoura</x:v>
      </x:c>
      <x:c r="D141" s="25" t="str">
        <x:v>Mansoura City</x:v>
      </x:c>
      <x:c r="E141" s="25" t="str">
        <x:v>Salma Mansour</x:v>
      </x:c>
      <x:c r="F141" s="25" t="str">
        <x:v>Ahmed Ibrahim</x:v>
      </x:c>
      <x:c r="G141" s="25" t="str">
        <x:v>Consumer</x:v>
      </x:c>
      <x:c r="H141" s="25" t="str">
        <x:v>Retail Store</x:v>
      </x:c>
      <x:c r="I141" s="25" t="str">
        <x:v>Electronics</x:v>
      </x:c>
      <x:c r="J141" s="25" t="str">
        <x:v>Headphones</x:v>
      </x:c>
      <x:c r="K141" s="25" t="n">
        <x:v>6</x:v>
      </x:c>
      <x:c r="L141" s="26" t="n">
        <x:v>1657</x:v>
      </x:c>
      <x:c r="M141" s="27" t="n">
        <x:v>0</x:v>
      </x:c>
      <x:c r="N141" s="26" t="n">
        <x:f>K141*L141</x:f>
        <x:v>9942</x:v>
      </x:c>
      <x:c r="O141" s="26" t="n">
        <x:f>N141*(1-M141)</x:f>
        <x:v>9942</x:v>
      </x:c>
      <x:c r="P141" s="26" t="n">
        <x:v>1128</x:v>
      </x:c>
      <x:c r="Q141" s="26" t="n">
        <x:f>K141*P141</x:f>
        <x:v>6768</x:v>
      </x:c>
      <x:c r="R141" s="26" t="n">
        <x:f>O141-Q141</x:f>
        <x:v>3174</x:v>
      </x:c>
      <x:c r="S141" s="28" t="n">
        <x:f>IF(O141=0,0,R141/O141)</x:f>
        <x:v>0.3192516596258298</x:v>
      </x:c>
      <x:c r="T141" s="25" t="str">
        <x:v>Bank Transfer</x:v>
      </x:c>
      <x:c r="U141" s="25" t="str">
        <x:v>Returned</x:v>
      </x:c>
      <x:c r="V141" s="29" t="n">
        <x:v>5</x:v>
      </x:c>
    </x:row>
    <x:row r="142">
      <x:c r="A142" s="23" t="str">
        <x:v>MAN-2025-00141</x:v>
      </x:c>
      <x:c r="B142" s="24" t="n">
        <x:v>45684</x:v>
      </x:c>
      <x:c r="C142" s="25" t="str">
        <x:v>Mansoura</x:v>
      </x:c>
      <x:c r="D142" s="25" t="str">
        <x:v>Talkha</x:v>
      </x:c>
      <x:c r="E142" s="25" t="str">
        <x:v>Aya Farouk</x:v>
      </x:c>
      <x:c r="F142" s="25" t="str">
        <x:v>Ali Mansour</x:v>
      </x:c>
      <x:c r="G142" s="25" t="str">
        <x:v>Consumer</x:v>
      </x:c>
      <x:c r="H142" s="25" t="str">
        <x:v>Retail Store</x:v>
      </x:c>
      <x:c r="I142" s="25" t="str">
        <x:v>Office Supplies</x:v>
      </x:c>
      <x:c r="J142" s="25" t="str">
        <x:v>Printer</x:v>
      </x:c>
      <x:c r="K142" s="25" t="n">
        <x:v>1</x:v>
      </x:c>
      <x:c r="L142" s="26" t="n">
        <x:v>6691</x:v>
      </x:c>
      <x:c r="M142" s="27" t="n">
        <x:v>0</x:v>
      </x:c>
      <x:c r="N142" s="26" t="n">
        <x:f>K142*L142</x:f>
        <x:v>6691</x:v>
      </x:c>
      <x:c r="O142" s="26" t="n">
        <x:f>N142*(1-M142)</x:f>
        <x:v>6691</x:v>
      </x:c>
      <x:c r="P142" s="26" t="n">
        <x:v>5205</x:v>
      </x:c>
      <x:c r="Q142" s="26" t="n">
        <x:f>K142*P142</x:f>
        <x:v>5205</x:v>
      </x:c>
      <x:c r="R142" s="26" t="n">
        <x:f>O142-Q142</x:f>
        <x:v>1486</x:v>
      </x:c>
      <x:c r="S142" s="28" t="n">
        <x:f>IF(O142=0,0,R142/O142)</x:f>
        <x:v>0.22208937378568225</x:v>
      </x:c>
      <x:c r="T142" s="25" t="str">
        <x:v>Digital Wallet</x:v>
      </x:c>
      <x:c r="U142" s="25" t="str">
        <x:v>Completed</x:v>
      </x:c>
      <x:c r="V142" s="29" t="n">
        <x:v>5</x:v>
      </x:c>
    </x:row>
    <x:row r="143">
      <x:c r="A143" s="23" t="str">
        <x:v>MAN-2025-00142</x:v>
      </x:c>
      <x:c r="B143" s="24" t="n">
        <x:v>45767</x:v>
      </x:c>
      <x:c r="C143" s="25" t="str">
        <x:v>Mansoura</x:v>
      </x:c>
      <x:c r="D143" s="25" t="str">
        <x:v>Aga</x:v>
      </x:c>
      <x:c r="E143" s="25" t="str">
        <x:v>Youssef Fathy</x:v>
      </x:c>
      <x:c r="F143" s="25" t="str">
        <x:v>Nour Mansour</x:v>
      </x:c>
      <x:c r="G143" s="25" t="str">
        <x:v>Consumer</x:v>
      </x:c>
      <x:c r="H143" s="25" t="str">
        <x:v>Mobile App</x:v>
      </x:c>
      <x:c r="I143" s="25" t="str">
        <x:v>Home Appliances</x:v>
      </x:c>
      <x:c r="J143" s="25" t="str">
        <x:v>Washing Machine</x:v>
      </x:c>
      <x:c r="K143" s="25" t="n">
        <x:v>4</x:v>
      </x:c>
      <x:c r="L143" s="26" t="n">
        <x:v>15876</x:v>
      </x:c>
      <x:c r="M143" s="27" t="n">
        <x:v>0</x:v>
      </x:c>
      <x:c r="N143" s="26" t="n">
        <x:f>K143*L143</x:f>
        <x:v>63504</x:v>
      </x:c>
      <x:c r="O143" s="26" t="n">
        <x:f>N143*(1-M143)</x:f>
        <x:v>63504</x:v>
      </x:c>
      <x:c r="P143" s="26" t="n">
        <x:v>13948</x:v>
      </x:c>
      <x:c r="Q143" s="26" t="n">
        <x:f>K143*P143</x:f>
        <x:v>55792</x:v>
      </x:c>
      <x:c r="R143" s="26" t="n">
        <x:f>O143-Q143</x:f>
        <x:v>7712</x:v>
      </x:c>
      <x:c r="S143" s="28" t="n">
        <x:f>IF(O143=0,0,R143/O143)</x:f>
        <x:v>0.12144116906021668</x:v>
      </x:c>
      <x:c r="T143" s="25" t="str">
        <x:v>Bank Transfer</x:v>
      </x:c>
      <x:c r="U143" s="25" t="str">
        <x:v>Completed</x:v>
      </x:c>
      <x:c r="V143" s="29" t="n">
        <x:v>3</x:v>
      </x:c>
    </x:row>
    <x:row r="144">
      <x:c r="A144" s="23" t="str">
        <x:v>MAN-2025-00143</x:v>
      </x:c>
      <x:c r="B144" s="24" t="n">
        <x:v>45687</x:v>
      </x:c>
      <x:c r="C144" s="25" t="str">
        <x:v>Mansoura</x:v>
      </x:c>
      <x:c r="D144" s="25" t="str">
        <x:v>Mit Ghamr</x:v>
      </x:c>
      <x:c r="E144" s="25" t="str">
        <x:v>Youssef Fathy</x:v>
      </x:c>
      <x:c r="F144" s="25" t="str">
        <x:v>Karim Khalil</x:v>
      </x:c>
      <x:c r="G144" s="25" t="str">
        <x:v>Consumer</x:v>
      </x:c>
      <x:c r="H144" s="25" t="str">
        <x:v>Retail Store</x:v>
      </x:c>
      <x:c r="I144" s="25" t="str">
        <x:v>Office Supplies</x:v>
      </x:c>
      <x:c r="J144" s="25" t="str">
        <x:v>Ink Cartridge</x:v>
      </x:c>
      <x:c r="K144" s="25" t="n">
        <x:v>3</x:v>
      </x:c>
      <x:c r="L144" s="26" t="n">
        <x:v>881</x:v>
      </x:c>
      <x:c r="M144" s="27" t="n">
        <x:v>0.1</x:v>
      </x:c>
      <x:c r="N144" s="26" t="n">
        <x:f>K144*L144</x:f>
        <x:v>2643</x:v>
      </x:c>
      <x:c r="O144" s="26" t="n">
        <x:f>N144*(1-M144)</x:f>
        <x:v>2378.7000000000003</x:v>
      </x:c>
      <x:c r="P144" s="26" t="n">
        <x:v>589</x:v>
      </x:c>
      <x:c r="Q144" s="26" t="n">
        <x:f>K144*P144</x:f>
        <x:v>1767</x:v>
      </x:c>
      <x:c r="R144" s="26" t="n">
        <x:f>O144-Q144</x:f>
        <x:v>611.7000000000003</x:v>
      </x:c>
      <x:c r="S144" s="28" t="n">
        <x:f>IF(O144=0,0,R144/O144)</x:f>
        <x:v>0.2571572707781562</x:v>
      </x:c>
      <x:c r="T144" s="25" t="str">
        <x:v>Debit Card</x:v>
      </x:c>
      <x:c r="U144" s="25" t="str">
        <x:v>Completed</x:v>
      </x:c>
      <x:c r="V144" s="29" t="n">
        <x:v>5</x:v>
      </x:c>
    </x:row>
    <x:row r="145">
      <x:c r="A145" s="23" t="str">
        <x:v>MAN-2025-00144</x:v>
      </x:c>
      <x:c r="B145" s="24" t="n">
        <x:v>46001</x:v>
      </x:c>
      <x:c r="C145" s="25" t="str">
        <x:v>Mansoura</x:v>
      </x:c>
      <x:c r="D145" s="25" t="str">
        <x:v>Mit Ghamr</x:v>
      </x:c>
      <x:c r="E145" s="25" t="str">
        <x:v>Aya Farouk</x:v>
      </x:c>
      <x:c r="F145" s="25" t="str">
        <x:v>Aya Nasser</x:v>
      </x:c>
      <x:c r="G145" s="25" t="str">
        <x:v>Corporate</x:v>
      </x:c>
      <x:c r="H145" s="25" t="str">
        <x:v>Mobile App</x:v>
      </x:c>
      <x:c r="I145" s="25" t="str">
        <x:v>Office Supplies</x:v>
      </x:c>
      <x:c r="J145" s="25" t="str">
        <x:v>Ink Cartridge</x:v>
      </x:c>
      <x:c r="K145" s="25" t="n">
        <x:v>2</x:v>
      </x:c>
      <x:c r="L145" s="26" t="n">
        <x:v>825</x:v>
      </x:c>
      <x:c r="M145" s="27" t="n">
        <x:v>0</x:v>
      </x:c>
      <x:c r="N145" s="26" t="n">
        <x:f>K145*L145</x:f>
        <x:v>1650</x:v>
      </x:c>
      <x:c r="O145" s="26" t="n">
        <x:f>N145*(1-M145)</x:f>
        <x:v>1650</x:v>
      </x:c>
      <x:c r="P145" s="26" t="n">
        <x:v>562</x:v>
      </x:c>
      <x:c r="Q145" s="26" t="n">
        <x:f>K145*P145</x:f>
        <x:v>1124</x:v>
      </x:c>
      <x:c r="R145" s="26" t="n">
        <x:f>O145-Q145</x:f>
        <x:v>526</x:v>
      </x:c>
      <x:c r="S145" s="28" t="n">
        <x:f>IF(O145=0,0,R145/O145)</x:f>
        <x:v>0.3187878787878788</x:v>
      </x:c>
      <x:c r="T145" s="25" t="str">
        <x:v>Cash</x:v>
      </x:c>
      <x:c r="U145" s="25" t="str">
        <x:v>Completed</x:v>
      </x:c>
      <x:c r="V145" s="29" t="n">
        <x:v>5</x:v>
      </x:c>
    </x:row>
    <x:row r="146">
      <x:c r="A146" s="23" t="str">
        <x:v>MAN-2025-00145</x:v>
      </x:c>
      <x:c r="B146" s="24" t="n">
        <x:v>45765</x:v>
      </x:c>
      <x:c r="C146" s="25" t="str">
        <x:v>Mansoura</x:v>
      </x:c>
      <x:c r="D146" s="25" t="str">
        <x:v>Aga</x:v>
      </x:c>
      <x:c r="E146" s="25" t="str">
        <x:v>Salma Mansour</x:v>
      </x:c>
      <x:c r="F146" s="25" t="str">
        <x:v>Omar Nasser</x:v>
      </x:c>
      <x:c r="G146" s="25" t="str">
        <x:v>Consumer</x:v>
      </x:c>
      <x:c r="H146" s="25" t="str">
        <x:v>Retail Store</x:v>
      </x:c>
      <x:c r="I146" s="25" t="str">
        <x:v>Home Appliances</x:v>
      </x:c>
      <x:c r="J146" s="25" t="str">
        <x:v>Washing Machine</x:v>
      </x:c>
      <x:c r="K146" s="25" t="n">
        <x:v>5</x:v>
      </x:c>
      <x:c r="L146" s="26" t="n">
        <x:v>15442</x:v>
      </x:c>
      <x:c r="M146" s="27" t="n">
        <x:v>0.15</x:v>
      </x:c>
      <x:c r="N146" s="26" t="n">
        <x:f>K146*L146</x:f>
        <x:v>77210</x:v>
      </x:c>
      <x:c r="O146" s="26" t="n">
        <x:f>N146*(1-M146)</x:f>
        <x:v>65628.5</x:v>
      </x:c>
      <x:c r="P146" s="26" t="n">
        <x:v>13736</x:v>
      </x:c>
      <x:c r="Q146" s="26" t="n">
        <x:f>K146*P146</x:f>
        <x:v>68680</x:v>
      </x:c>
      <x:c r="R146" s="26" t="n">
        <x:f>O146-Q146</x:f>
        <x:v>-3051.5</x:v>
      </x:c>
      <x:c r="S146" s="28" t="n">
        <x:f>IF(O146=0,0,R146/O146)</x:f>
        <x:v>-0.046496567802098175</x:v>
      </x:c>
      <x:c r="T146" s="25" t="str">
        <x:v>Debit Card</x:v>
      </x:c>
      <x:c r="U146" s="25" t="str">
        <x:v>Cancelled</x:v>
      </x:c>
      <x:c r="V146" s="29" t="n">
        <x:v>4</x:v>
      </x:c>
    </x:row>
    <x:row r="147">
      <x:c r="A147" s="23" t="str">
        <x:v>MAN-2025-00146</x:v>
      </x:c>
      <x:c r="B147" s="24" t="n">
        <x:v>45676</x:v>
      </x:c>
      <x:c r="C147" s="25" t="str">
        <x:v>Mansoura</x:v>
      </x:c>
      <x:c r="D147" s="25" t="str">
        <x:v>Sherbin</x:v>
      </x:c>
      <x:c r="E147" s="25" t="str">
        <x:v>Salma Mansour</x:v>
      </x:c>
      <x:c r="F147" s="25" t="str">
        <x:v>Youssef Mansour</x:v>
      </x:c>
      <x:c r="G147" s="25" t="str">
        <x:v>Corporate</x:v>
      </x:c>
      <x:c r="H147" s="25" t="str">
        <x:v>Mobile App</x:v>
      </x:c>
      <x:c r="I147" s="25" t="str">
        <x:v>Furniture</x:v>
      </x:c>
      <x:c r="J147" s="25" t="str">
        <x:v>Office Chair</x:v>
      </x:c>
      <x:c r="K147" s="25" t="n">
        <x:v>1</x:v>
      </x:c>
      <x:c r="L147" s="26" t="n">
        <x:v>3595</x:v>
      </x:c>
      <x:c r="M147" s="27" t="n">
        <x:v>0.05</x:v>
      </x:c>
      <x:c r="N147" s="26" t="n">
        <x:f>K147*L147</x:f>
        <x:v>3595</x:v>
      </x:c>
      <x:c r="O147" s="26" t="n">
        <x:f>N147*(1-M147)</x:f>
        <x:v>3415.25</x:v>
      </x:c>
      <x:c r="P147" s="26" t="n">
        <x:v>2898</x:v>
      </x:c>
      <x:c r="Q147" s="26" t="n">
        <x:f>K147*P147</x:f>
        <x:v>2898</x:v>
      </x:c>
      <x:c r="R147" s="26" t="n">
        <x:f>O147-Q147</x:f>
        <x:v>517.25</x:v>
      </x:c>
      <x:c r="S147" s="28" t="n">
        <x:f>IF(O147=0,0,R147/O147)</x:f>
        <x:v>0.15145304150501426</x:v>
      </x:c>
      <x:c r="T147" s="25" t="str">
        <x:v>Credit Card</x:v>
      </x:c>
      <x:c r="U147" s="25" t="str">
        <x:v>Completed</x:v>
      </x:c>
      <x:c r="V147" s="29" t="n">
        <x:v>4</x:v>
      </x:c>
    </x:row>
    <x:row r="148">
      <x:c r="A148" s="23" t="str">
        <x:v>MAN-2025-00147</x:v>
      </x:c>
      <x:c r="B148" s="24" t="n">
        <x:v>45764</x:v>
      </x:c>
      <x:c r="C148" s="25" t="str">
        <x:v>Mansoura</x:v>
      </x:c>
      <x:c r="D148" s="25" t="str">
        <x:v>Talkha</x:v>
      </x:c>
      <x:c r="E148" s="25" t="str">
        <x:v>Youssef Fathy</x:v>
      </x:c>
      <x:c r="F148" s="25" t="str">
        <x:v>Omar Ibrahim</x:v>
      </x:c>
      <x:c r="G148" s="25" t="str">
        <x:v>Consumer</x:v>
      </x:c>
      <x:c r="H148" s="25" t="str">
        <x:v>Mobile App</x:v>
      </x:c>
      <x:c r="I148" s="25" t="str">
        <x:v>Office Supplies</x:v>
      </x:c>
      <x:c r="J148" s="25" t="str">
        <x:v>Ink Cartridge</x:v>
      </x:c>
      <x:c r="K148" s="25" t="n">
        <x:v>3</x:v>
      </x:c>
      <x:c r="L148" s="26" t="n">
        <x:v>812</x:v>
      </x:c>
      <x:c r="M148" s="27" t="n">
        <x:v>0</x:v>
      </x:c>
      <x:c r="N148" s="26" t="n">
        <x:f>K148*L148</x:f>
        <x:v>2436</x:v>
      </x:c>
      <x:c r="O148" s="26" t="n">
        <x:f>N148*(1-M148)</x:f>
        <x:v>2436</x:v>
      </x:c>
      <x:c r="P148" s="26" t="n">
        <x:v>571</x:v>
      </x:c>
      <x:c r="Q148" s="26" t="n">
        <x:f>K148*P148</x:f>
        <x:v>1713</x:v>
      </x:c>
      <x:c r="R148" s="26" t="n">
        <x:f>O148-Q148</x:f>
        <x:v>723</x:v>
      </x:c>
      <x:c r="S148" s="28" t="n">
        <x:f>IF(O148=0,0,R148/O148)</x:f>
        <x:v>0.29679802955665024</x:v>
      </x:c>
      <x:c r="T148" s="25" t="str">
        <x:v>Bank Transfer</x:v>
      </x:c>
      <x:c r="U148" s="25" t="str">
        <x:v>Completed</x:v>
      </x:c>
      <x:c r="V148" s="29" t="n">
        <x:v>5</x:v>
      </x:c>
    </x:row>
    <x:row r="149">
      <x:c r="A149" s="23" t="str">
        <x:v>MAN-2025-00148</x:v>
      </x:c>
      <x:c r="B149" s="24" t="n">
        <x:v>45752</x:v>
      </x:c>
      <x:c r="C149" s="25" t="str">
        <x:v>Mansoura</x:v>
      </x:c>
      <x:c r="D149" s="25" t="str">
        <x:v>Mansoura City</x:v>
      </x:c>
      <x:c r="E149" s="25" t="str">
        <x:v>Salma Mansour</x:v>
      </x:c>
      <x:c r="F149" s="25" t="str">
        <x:v>Aya Tarek</x:v>
      </x:c>
      <x:c r="G149" s="25" t="str">
        <x:v>Consumer</x:v>
      </x:c>
      <x:c r="H149" s="25" t="str">
        <x:v>Mobile App</x:v>
      </x:c>
      <x:c r="I149" s="25" t="str">
        <x:v>Home Appliances</x:v>
      </x:c>
      <x:c r="J149" s="25" t="str">
        <x:v>Washing Machine</x:v>
      </x:c>
      <x:c r="K149" s="25" t="n">
        <x:v>5</x:v>
      </x:c>
      <x:c r="L149" s="26" t="n">
        <x:v>16114</x:v>
      </x:c>
      <x:c r="M149" s="27" t="n">
        <x:v>0.1</x:v>
      </x:c>
      <x:c r="N149" s="26" t="n">
        <x:f>K149*L149</x:f>
        <x:v>80570</x:v>
      </x:c>
      <x:c r="O149" s="26" t="n">
        <x:f>N149*(1-M149)</x:f>
        <x:v>72513</x:v>
      </x:c>
      <x:c r="P149" s="26" t="n">
        <x:v>14428</x:v>
      </x:c>
      <x:c r="Q149" s="26" t="n">
        <x:f>K149*P149</x:f>
        <x:v>72140</x:v>
      </x:c>
      <x:c r="R149" s="26" t="n">
        <x:f>O149-Q149</x:f>
        <x:v>373</x:v>
      </x:c>
      <x:c r="S149" s="28" t="n">
        <x:f>IF(O149=0,0,R149/O149)</x:f>
        <x:v>0.005143905230786204</x:v>
      </x:c>
      <x:c r="T149" s="25" t="str">
        <x:v>Bank Transfer</x:v>
      </x:c>
      <x:c r="U149" s="25" t="str">
        <x:v>Cancelled</x:v>
      </x:c>
      <x:c r="V149" s="29" t="n">
        <x:v>5</x:v>
      </x:c>
    </x:row>
    <x:row r="150">
      <x:c r="A150" s="23" t="str">
        <x:v>MAN-2025-00149</x:v>
      </x:c>
      <x:c r="B150" s="24" t="n">
        <x:v>45675</x:v>
      </x:c>
      <x:c r="C150" s="25" t="str">
        <x:v>Mansoura</x:v>
      </x:c>
      <x:c r="D150" s="25" t="str">
        <x:v>Talkha</x:v>
      </x:c>
      <x:c r="E150" s="25" t="str">
        <x:v>Aya Farouk</x:v>
      </x:c>
      <x:c r="F150" s="25" t="str">
        <x:v>Karim Farouk</x:v>
      </x:c>
      <x:c r="G150" s="25" t="str">
        <x:v>Consumer</x:v>
      </x:c>
      <x:c r="H150" s="25" t="str">
        <x:v>Retail Store</x:v>
      </x:c>
      <x:c r="I150" s="25" t="str">
        <x:v>Electronics</x:v>
      </x:c>
      <x:c r="J150" s="25" t="str">
        <x:v>Laptop</x:v>
      </x:c>
      <x:c r="K150" s="25" t="n">
        <x:v>1</x:v>
      </x:c>
      <x:c r="L150" s="26" t="n">
        <x:v>24156</x:v>
      </x:c>
      <x:c r="M150" s="27" t="n">
        <x:v>0.05</x:v>
      </x:c>
      <x:c r="N150" s="26" t="n">
        <x:f>K150*L150</x:f>
        <x:v>24156</x:v>
      </x:c>
      <x:c r="O150" s="26" t="n">
        <x:f>N150*(1-M150)</x:f>
        <x:v>22948.2</x:v>
      </x:c>
      <x:c r="P150" s="26" t="n">
        <x:v>21413</x:v>
      </x:c>
      <x:c r="Q150" s="26" t="n">
        <x:f>K150*P150</x:f>
        <x:v>21413</x:v>
      </x:c>
      <x:c r="R150" s="26" t="n">
        <x:f>O150-Q150</x:f>
        <x:v>1535.2000000000007</x:v>
      </x:c>
      <x:c r="S150" s="28" t="n">
        <x:f>IF(O150=0,0,R150/O150)</x:f>
        <x:v>0.06689849312800135</x:v>
      </x:c>
      <x:c r="T150" s="25" t="str">
        <x:v>Credit Card</x:v>
      </x:c>
      <x:c r="U150" s="25" t="str">
        <x:v>Completed</x:v>
      </x:c>
      <x:c r="V150" s="29" t="n">
        <x:v>5</x:v>
      </x:c>
    </x:row>
    <x:row r="151">
      <x:c r="A151" s="23" t="str">
        <x:v>MAN-2025-00150</x:v>
      </x:c>
      <x:c r="B151" s="24" t="n">
        <x:v>45973</x:v>
      </x:c>
      <x:c r="C151" s="25" t="str">
        <x:v>Mansoura</x:v>
      </x:c>
      <x:c r="D151" s="25" t="str">
        <x:v>Mit Ghamr</x:v>
      </x:c>
      <x:c r="E151" s="25" t="str">
        <x:v>Salma Mansour</x:v>
      </x:c>
      <x:c r="F151" s="25" t="str">
        <x:v>Mostafa Mansour</x:v>
      </x:c>
      <x:c r="G151" s="25" t="str">
        <x:v>Small Business</x:v>
      </x:c>
      <x:c r="H151" s="25" t="str">
        <x:v>Phone Order</x:v>
      </x:c>
      <x:c r="I151" s="25" t="str">
        <x:v>Electronics</x:v>
      </x:c>
      <x:c r="J151" s="25" t="str">
        <x:v>Headphones</x:v>
      </x:c>
      <x:c r="K151" s="25" t="n">
        <x:v>3</x:v>
      </x:c>
      <x:c r="L151" s="26" t="n">
        <x:v>1790</x:v>
      </x:c>
      <x:c r="M151" s="27" t="n">
        <x:v>0</x:v>
      </x:c>
      <x:c r="N151" s="26" t="n">
        <x:f>K151*L151</x:f>
        <x:v>5370</x:v>
      </x:c>
      <x:c r="O151" s="26" t="n">
        <x:f>N151*(1-M151)</x:f>
        <x:v>5370</x:v>
      </x:c>
      <x:c r="P151" s="26" t="n">
        <x:v>1137</x:v>
      </x:c>
      <x:c r="Q151" s="26" t="n">
        <x:f>K151*P151</x:f>
        <x:v>3411</x:v>
      </x:c>
      <x:c r="R151" s="26" t="n">
        <x:f>O151-Q151</x:f>
        <x:v>1959</x:v>
      </x:c>
      <x:c r="S151" s="28" t="n">
        <x:f>IF(O151=0,0,R151/O151)</x:f>
        <x:v>0.364804469273743</x:v>
      </x:c>
      <x:c r="T151" s="25" t="str">
        <x:v>Digital Wallet</x:v>
      </x:c>
      <x:c r="U151" s="25" t="str">
        <x:v>Completed</x:v>
      </x:c>
      <x:c r="V151" s="29" t="n">
        <x:v>5</x:v>
      </x:c>
    </x:row>
    <x:row r="152">
      <x:c r="A152" s="23" t="str">
        <x:v>MAN-2025-00151</x:v>
      </x:c>
      <x:c r="B152" s="24" t="n">
        <x:v>45859</x:v>
      </x:c>
      <x:c r="C152" s="25" t="str">
        <x:v>Mansoura</x:v>
      </x:c>
      <x:c r="D152" s="25" t="str">
        <x:v>Mansoura City</x:v>
      </x:c>
      <x:c r="E152" s="25" t="str">
        <x:v>Ali Sayed</x:v>
      </x:c>
      <x:c r="F152" s="25" t="str">
        <x:v>Karim Fathy</x:v>
      </x:c>
      <x:c r="G152" s="25" t="str">
        <x:v>Consumer</x:v>
      </x:c>
      <x:c r="H152" s="25" t="str">
        <x:v>Phone Order</x:v>
      </x:c>
      <x:c r="I152" s="25" t="str">
        <x:v>Home Appliances</x:v>
      </x:c>
      <x:c r="J152" s="25" t="str">
        <x:v>Washing Machine</x:v>
      </x:c>
      <x:c r="K152" s="25" t="n">
        <x:v>6</x:v>
      </x:c>
      <x:c r="L152" s="26" t="n">
        <x:v>15882</x:v>
      </x:c>
      <x:c r="M152" s="27" t="n">
        <x:v>0.05</x:v>
      </x:c>
      <x:c r="N152" s="26" t="n">
        <x:f>K152*L152</x:f>
        <x:v>95292</x:v>
      </x:c>
      <x:c r="O152" s="26" t="n">
        <x:f>N152*(1-M152)</x:f>
        <x:v>90527.4</x:v>
      </x:c>
      <x:c r="P152" s="26" t="n">
        <x:v>14217</x:v>
      </x:c>
      <x:c r="Q152" s="26" t="n">
        <x:f>K152*P152</x:f>
        <x:v>85302</x:v>
      </x:c>
      <x:c r="R152" s="26" t="n">
        <x:f>O152-Q152</x:f>
        <x:v>5225.399999999994</x:v>
      </x:c>
      <x:c r="S152" s="28" t="n">
        <x:f>IF(O152=0,0,R152/O152)</x:f>
        <x:v>0.057721750541824844</x:v>
      </x:c>
      <x:c r="T152" s="25" t="str">
        <x:v>Digital Wallet</x:v>
      </x:c>
      <x:c r="U152" s="25" t="str">
        <x:v>Returned</x:v>
      </x:c>
      <x:c r="V152" s="29" t="n">
        <x:v>4</x:v>
      </x:c>
    </x:row>
    <x:row r="153">
      <x:c r="A153" s="23" t="str">
        <x:v>MAN-2025-00152</x:v>
      </x:c>
      <x:c r="B153" s="24" t="n">
        <x:v>45672</x:v>
      </x:c>
      <x:c r="C153" s="25" t="str">
        <x:v>Mansoura</x:v>
      </x:c>
      <x:c r="D153" s="25" t="str">
        <x:v>Sherbin</x:v>
      </x:c>
      <x:c r="E153" s="25" t="str">
        <x:v>Youssef Fathy</x:v>
      </x:c>
      <x:c r="F153" s="25" t="str">
        <x:v>Sara Nasser</x:v>
      </x:c>
      <x:c r="G153" s="25" t="str">
        <x:v>Consumer</x:v>
      </x:c>
      <x:c r="H153" s="25" t="str">
        <x:v>Retail Store</x:v>
      </x:c>
      <x:c r="I153" s="25" t="str">
        <x:v>Home Appliances</x:v>
      </x:c>
      <x:c r="J153" s="25" t="str">
        <x:v>Air Conditioner</x:v>
      </x:c>
      <x:c r="K153" s="25" t="n">
        <x:v>3</x:v>
      </x:c>
      <x:c r="L153" s="26" t="n">
        <x:v>21001</x:v>
      </x:c>
      <x:c r="M153" s="27" t="n">
        <x:v>0</x:v>
      </x:c>
      <x:c r="N153" s="26" t="n">
        <x:f>K153*L153</x:f>
        <x:v>63003</x:v>
      </x:c>
      <x:c r="O153" s="26" t="n">
        <x:f>N153*(1-M153)</x:f>
        <x:v>63003</x:v>
      </x:c>
      <x:c r="P153" s="26" t="n">
        <x:v>17922</x:v>
      </x:c>
      <x:c r="Q153" s="26" t="n">
        <x:f>K153*P153</x:f>
        <x:v>53766</x:v>
      </x:c>
      <x:c r="R153" s="26" t="n">
        <x:f>O153-Q153</x:f>
        <x:v>9237</x:v>
      </x:c>
      <x:c r="S153" s="28" t="n">
        <x:f>IF(O153=0,0,R153/O153)</x:f>
        <x:v>0.14661206609209085</x:v>
      </x:c>
      <x:c r="T153" s="25" t="str">
        <x:v>Credit Card</x:v>
      </x:c>
      <x:c r="U153" s="25" t="str">
        <x:v>Completed</x:v>
      </x:c>
      <x:c r="V153" s="29" t="n">
        <x:v>5</x:v>
      </x:c>
    </x:row>
    <x:row r="154">
      <x:c r="A154" s="23" t="str">
        <x:v>MAN-2025-00153</x:v>
      </x:c>
      <x:c r="B154" s="24" t="n">
        <x:v>46020</x:v>
      </x:c>
      <x:c r="C154" s="25" t="str">
        <x:v>Mansoura</x:v>
      </x:c>
      <x:c r="D154" s="25" t="str">
        <x:v>Mansoura City</x:v>
      </x:c>
      <x:c r="E154" s="25" t="str">
        <x:v>Ali Sayed</x:v>
      </x:c>
      <x:c r="F154" s="25" t="str">
        <x:v>Aya Hassan</x:v>
      </x:c>
      <x:c r="G154" s="25" t="str">
        <x:v>Corporate</x:v>
      </x:c>
      <x:c r="H154" s="25" t="str">
        <x:v>Retail Store</x:v>
      </x:c>
      <x:c r="I154" s="25" t="str">
        <x:v>Office Supplies</x:v>
      </x:c>
      <x:c r="J154" s="25" t="str">
        <x:v>Ink Cartridge</x:v>
      </x:c>
      <x:c r="K154" s="25" t="n">
        <x:v>1</x:v>
      </x:c>
      <x:c r="L154" s="26" t="n">
        <x:v>831</x:v>
      </x:c>
      <x:c r="M154" s="27" t="n">
        <x:v>0</x:v>
      </x:c>
      <x:c r="N154" s="26" t="n">
        <x:f>K154*L154</x:f>
        <x:v>831</x:v>
      </x:c>
      <x:c r="O154" s="26" t="n">
        <x:f>N154*(1-M154)</x:f>
        <x:v>831</x:v>
      </x:c>
      <x:c r="P154" s="26" t="n">
        <x:v>588</x:v>
      </x:c>
      <x:c r="Q154" s="26" t="n">
        <x:f>K154*P154</x:f>
        <x:v>588</x:v>
      </x:c>
      <x:c r="R154" s="26" t="n">
        <x:f>O154-Q154</x:f>
        <x:v>243</x:v>
      </x:c>
      <x:c r="S154" s="28" t="n">
        <x:f>IF(O154=0,0,R154/O154)</x:f>
        <x:v>0.2924187725631769</x:v>
      </x:c>
      <x:c r="T154" s="25" t="str">
        <x:v>Digital Wallet</x:v>
      </x:c>
      <x:c r="U154" s="25" t="str">
        <x:v>Completed</x:v>
      </x:c>
      <x:c r="V154" s="29" t="n">
        <x:v>3</x:v>
      </x:c>
    </x:row>
    <x:row r="155">
      <x:c r="A155" s="23" t="str">
        <x:v>MAN-2025-00154</x:v>
      </x:c>
      <x:c r="B155" s="24" t="n">
        <x:v>45782</x:v>
      </x:c>
      <x:c r="C155" s="25" t="str">
        <x:v>Mansoura</x:v>
      </x:c>
      <x:c r="D155" s="25" t="str">
        <x:v>Talkha</x:v>
      </x:c>
      <x:c r="E155" s="25" t="str">
        <x:v>Youssef Fathy</x:v>
      </x:c>
      <x:c r="F155" s="25" t="str">
        <x:v>Aya Khalil</x:v>
      </x:c>
      <x:c r="G155" s="25" t="str">
        <x:v>Small Business</x:v>
      </x:c>
      <x:c r="H155" s="25" t="str">
        <x:v>Retail Store</x:v>
      </x:c>
      <x:c r="I155" s="25" t="str">
        <x:v>Home Appliances</x:v>
      </x:c>
      <x:c r="J155" s="25" t="str">
        <x:v>Air Conditioner</x:v>
      </x:c>
      <x:c r="K155" s="25" t="n">
        <x:v>6</x:v>
      </x:c>
      <x:c r="L155" s="26" t="n">
        <x:v>21887</x:v>
      </x:c>
      <x:c r="M155" s="27" t="n">
        <x:v>0</x:v>
      </x:c>
      <x:c r="N155" s="26" t="n">
        <x:f>K155*L155</x:f>
        <x:v>131322</x:v>
      </x:c>
      <x:c r="O155" s="26" t="n">
        <x:f>N155*(1-M155)</x:f>
        <x:v>131322</x:v>
      </x:c>
      <x:c r="P155" s="26" t="n">
        <x:v>17439</x:v>
      </x:c>
      <x:c r="Q155" s="26" t="n">
        <x:f>K155*P155</x:f>
        <x:v>104634</x:v>
      </x:c>
      <x:c r="R155" s="26" t="n">
        <x:f>O155-Q155</x:f>
        <x:v>26688</x:v>
      </x:c>
      <x:c r="S155" s="28" t="n">
        <x:f>IF(O155=0,0,R155/O155)</x:f>
        <x:v>0.20322565906702608</x:v>
      </x:c>
      <x:c r="T155" s="25" t="str">
        <x:v>Cash</x:v>
      </x:c>
      <x:c r="U155" s="25" t="str">
        <x:v>Completed</x:v>
      </x:c>
      <x:c r="V155" s="29" t="n">
        <x:v>4</x:v>
      </x:c>
    </x:row>
    <x:row r="156">
      <x:c r="A156" s="23" t="str">
        <x:v>MAN-2025-00155</x:v>
      </x:c>
      <x:c r="B156" s="24" t="n">
        <x:v>45857</x:v>
      </x:c>
      <x:c r="C156" s="25" t="str">
        <x:v>Mansoura</x:v>
      </x:c>
      <x:c r="D156" s="25" t="str">
        <x:v>Mit Ghamr</x:v>
      </x:c>
      <x:c r="E156" s="25" t="str">
        <x:v>Youssef Fathy</x:v>
      </x:c>
      <x:c r="F156" s="25" t="str">
        <x:v>Aya Tarek</x:v>
      </x:c>
      <x:c r="G156" s="25" t="str">
        <x:v>Consumer</x:v>
      </x:c>
      <x:c r="H156" s="25" t="str">
        <x:v>Website</x:v>
      </x:c>
      <x:c r="I156" s="25" t="str">
        <x:v>Furniture</x:v>
      </x:c>
      <x:c r="J156" s="25" t="str">
        <x:v>Sofa</x:v>
      </x:c>
      <x:c r="K156" s="25" t="n">
        <x:v>1</x:v>
      </x:c>
      <x:c r="L156" s="26" t="n">
        <x:v>13338</x:v>
      </x:c>
      <x:c r="M156" s="27" t="n">
        <x:v>0</x:v>
      </x:c>
      <x:c r="N156" s="26" t="n">
        <x:f>K156*L156</x:f>
        <x:v>13338</x:v>
      </x:c>
      <x:c r="O156" s="26" t="n">
        <x:f>N156*(1-M156)</x:f>
        <x:v>13338</x:v>
      </x:c>
      <x:c r="P156" s="26" t="n">
        <x:v>10901</x:v>
      </x:c>
      <x:c r="Q156" s="26" t="n">
        <x:f>K156*P156</x:f>
        <x:v>10901</x:v>
      </x:c>
      <x:c r="R156" s="26" t="n">
        <x:f>O156-Q156</x:f>
        <x:v>2437</x:v>
      </x:c>
      <x:c r="S156" s="28" t="n">
        <x:f>IF(O156=0,0,R156/O156)</x:f>
        <x:v>0.18271105113210376</x:v>
      </x:c>
      <x:c r="T156" s="25" t="str">
        <x:v>Cash</x:v>
      </x:c>
      <x:c r="U156" s="25" t="str">
        <x:v>Completed</x:v>
      </x:c>
      <x:c r="V156" s="29" t="n">
        <x:v>4</x:v>
      </x:c>
    </x:row>
    <x:row r="157">
      <x:c r="A157" s="23" t="str">
        <x:v>MAN-2025-00156</x:v>
      </x:c>
      <x:c r="B157" s="24" t="n">
        <x:v>45669</x:v>
      </x:c>
      <x:c r="C157" s="25" t="str">
        <x:v>Mansoura</x:v>
      </x:c>
      <x:c r="D157" s="25" t="str">
        <x:v>Aga</x:v>
      </x:c>
      <x:c r="E157" s="25" t="str">
        <x:v>Aya Farouk</x:v>
      </x:c>
      <x:c r="F157" s="25" t="str">
        <x:v>Youssef Farouk</x:v>
      </x:c>
      <x:c r="G157" s="25" t="str">
        <x:v>Consumer</x:v>
      </x:c>
      <x:c r="H157" s="25" t="str">
        <x:v>Mobile App</x:v>
      </x:c>
      <x:c r="I157" s="25" t="str">
        <x:v>Office Supplies</x:v>
      </x:c>
      <x:c r="J157" s="25" t="str">
        <x:v>Printer</x:v>
      </x:c>
      <x:c r="K157" s="25" t="n">
        <x:v>3</x:v>
      </x:c>
      <x:c r="L157" s="26" t="n">
        <x:v>6290</x:v>
      </x:c>
      <x:c r="M157" s="27" t="n">
        <x:v>0.1</x:v>
      </x:c>
      <x:c r="N157" s="26" t="n">
        <x:f>K157*L157</x:f>
        <x:v>18870</x:v>
      </x:c>
      <x:c r="O157" s="26" t="n">
        <x:f>N157*(1-M157)</x:f>
        <x:v>16983</x:v>
      </x:c>
      <x:c r="P157" s="26" t="n">
        <x:v>5264</x:v>
      </x:c>
      <x:c r="Q157" s="26" t="n">
        <x:f>K157*P157</x:f>
        <x:v>15792</x:v>
      </x:c>
      <x:c r="R157" s="26" t="n">
        <x:f>O157-Q157</x:f>
        <x:v>1191</x:v>
      </x:c>
      <x:c r="S157" s="28" t="n">
        <x:f>IF(O157=0,0,R157/O157)</x:f>
        <x:v>0.07012895248189366</x:v>
      </x:c>
      <x:c r="T157" s="25" t="str">
        <x:v>Credit Card</x:v>
      </x:c>
      <x:c r="U157" s="25" t="str">
        <x:v>Completed</x:v>
      </x:c>
      <x:c r="V157" s="29" t="n">
        <x:v>5</x:v>
      </x:c>
    </x:row>
    <x:row r="158">
      <x:c r="A158" s="23" t="str">
        <x:v>MAN-2025-00157</x:v>
      </x:c>
      <x:c r="B158" s="24" t="n">
        <x:v>46017</x:v>
      </x:c>
      <x:c r="C158" s="25" t="str">
        <x:v>Mansoura</x:v>
      </x:c>
      <x:c r="D158" s="25" t="str">
        <x:v>Sherbin</x:v>
      </x:c>
      <x:c r="E158" s="25" t="str">
        <x:v>Salma Mansour</x:v>
      </x:c>
      <x:c r="F158" s="25" t="str">
        <x:v>Nour Fathy</x:v>
      </x:c>
      <x:c r="G158" s="25" t="str">
        <x:v>Consumer</x:v>
      </x:c>
      <x:c r="H158" s="25" t="str">
        <x:v>Phone Order</x:v>
      </x:c>
      <x:c r="I158" s="25" t="str">
        <x:v>Furniture</x:v>
      </x:c>
      <x:c r="J158" s="25" t="str">
        <x:v>Office Chair</x:v>
      </x:c>
      <x:c r="K158" s="25" t="n">
        <x:v>6</x:v>
      </x:c>
      <x:c r="L158" s="26" t="n">
        <x:v>3937</x:v>
      </x:c>
      <x:c r="M158" s="27" t="n">
        <x:v>0.15</x:v>
      </x:c>
      <x:c r="N158" s="26" t="n">
        <x:f>K158*L158</x:f>
        <x:v>23622</x:v>
      </x:c>
      <x:c r="O158" s="26" t="n">
        <x:f>N158*(1-M158)</x:f>
        <x:v>20078.7</x:v>
      </x:c>
      <x:c r="P158" s="26" t="n">
        <x:v>2820</x:v>
      </x:c>
      <x:c r="Q158" s="26" t="n">
        <x:f>K158*P158</x:f>
        <x:v>16920</x:v>
      </x:c>
      <x:c r="R158" s="26" t="n">
        <x:f>O158-Q158</x:f>
        <x:v>3158.7000000000007</x:v>
      </x:c>
      <x:c r="S158" s="28" t="n">
        <x:f>IF(O158=0,0,R158/O158)</x:f>
        <x:v>0.15731596169074694</x:v>
      </x:c>
      <x:c r="T158" s="25" t="str">
        <x:v>Cash</x:v>
      </x:c>
      <x:c r="U158" s="25" t="str">
        <x:v>Completed</x:v>
      </x:c>
      <x:c r="V158" s="29" t="n">
        <x:v>5</x:v>
      </x:c>
    </x:row>
    <x:row r="159">
      <x:c r="A159" s="23" t="str">
        <x:v>MAN-2025-00158</x:v>
      </x:c>
      <x:c r="B159" s="24" t="n">
        <x:v>45954</x:v>
      </x:c>
      <x:c r="C159" s="25" t="str">
        <x:v>Mansoura</x:v>
      </x:c>
      <x:c r="D159" s="25" t="str">
        <x:v>Mit Ghamr</x:v>
      </x:c>
      <x:c r="E159" s="25" t="str">
        <x:v>Salma Mansour</x:v>
      </x:c>
      <x:c r="F159" s="25" t="str">
        <x:v>Mostafa Samir</x:v>
      </x:c>
      <x:c r="G159" s="25" t="str">
        <x:v>Small Business</x:v>
      </x:c>
      <x:c r="H159" s="25" t="str">
        <x:v>Mobile App</x:v>
      </x:c>
      <x:c r="I159" s="25" t="str">
        <x:v>Electronics</x:v>
      </x:c>
      <x:c r="J159" s="25" t="str">
        <x:v>Smartphone</x:v>
      </x:c>
      <x:c r="K159" s="25" t="n">
        <x:v>5</x:v>
      </x:c>
      <x:c r="L159" s="26" t="n">
        <x:v>12960</x:v>
      </x:c>
      <x:c r="M159" s="27" t="n">
        <x:v>0.1</x:v>
      </x:c>
      <x:c r="N159" s="26" t="n">
        <x:f>K159*L159</x:f>
        <x:v>64800</x:v>
      </x:c>
      <x:c r="O159" s="26" t="n">
        <x:f>N159*(1-M159)</x:f>
        <x:v>58320</x:v>
      </x:c>
      <x:c r="P159" s="26" t="n">
        <x:v>10643</x:v>
      </x:c>
      <x:c r="Q159" s="26" t="n">
        <x:f>K159*P159</x:f>
        <x:v>53215</x:v>
      </x:c>
      <x:c r="R159" s="26" t="n">
        <x:f>O159-Q159</x:f>
        <x:v>5105</x:v>
      </x:c>
      <x:c r="S159" s="28" t="n">
        <x:f>IF(O159=0,0,R159/O159)</x:f>
        <x:v>0.08753429355281207</x:v>
      </x:c>
      <x:c r="T159" s="25" t="str">
        <x:v>Credit Card</x:v>
      </x:c>
      <x:c r="U159" s="25" t="str">
        <x:v>Completed</x:v>
      </x:c>
      <x:c r="V159" s="29" t="n">
        <x:v>3</x:v>
      </x:c>
    </x:row>
    <x:row r="160">
      <x:c r="A160" s="23" t="str">
        <x:v>MAN-2025-00159</x:v>
      </x:c>
      <x:c r="B160" s="24" t="n">
        <x:v>45825</x:v>
      </x:c>
      <x:c r="C160" s="25" t="str">
        <x:v>Mansoura</x:v>
      </x:c>
      <x:c r="D160" s="25" t="str">
        <x:v>Sherbin</x:v>
      </x:c>
      <x:c r="E160" s="25" t="str">
        <x:v>Aya Farouk</x:v>
      </x:c>
      <x:c r="F160" s="25" t="str">
        <x:v>Ahmed Samir</x:v>
      </x:c>
      <x:c r="G160" s="25" t="str">
        <x:v>Corporate</x:v>
      </x:c>
      <x:c r="H160" s="25" t="str">
        <x:v>Retail Store</x:v>
      </x:c>
      <x:c r="I160" s="25" t="str">
        <x:v>Home Appliances</x:v>
      </x:c>
      <x:c r="J160" s="25" t="str">
        <x:v>Washing Machine</x:v>
      </x:c>
      <x:c r="K160" s="25" t="n">
        <x:v>3</x:v>
      </x:c>
      <x:c r="L160" s="26" t="n">
        <x:v>16975</x:v>
      </x:c>
      <x:c r="M160" s="27" t="n">
        <x:v>0</x:v>
      </x:c>
      <x:c r="N160" s="26" t="n">
        <x:f>K160*L160</x:f>
        <x:v>50925</x:v>
      </x:c>
      <x:c r="O160" s="26" t="n">
        <x:f>N160*(1-M160)</x:f>
        <x:v>50925</x:v>
      </x:c>
      <x:c r="P160" s="26" t="n">
        <x:v>14214</x:v>
      </x:c>
      <x:c r="Q160" s="26" t="n">
        <x:f>K160*P160</x:f>
        <x:v>42642</x:v>
      </x:c>
      <x:c r="R160" s="26" t="n">
        <x:f>O160-Q160</x:f>
        <x:v>8283</x:v>
      </x:c>
      <x:c r="S160" s="28" t="n">
        <x:f>IF(O160=0,0,R160/O160)</x:f>
        <x:v>0.16265095729013254</x:v>
      </x:c>
      <x:c r="T160" s="25" t="str">
        <x:v>Bank Transfer</x:v>
      </x:c>
      <x:c r="U160" s="25" t="str">
        <x:v>Cancelled</x:v>
      </x:c>
      <x:c r="V160" s="29" t="n">
        <x:v>5</x:v>
      </x:c>
    </x:row>
    <x:row r="161">
      <x:c r="A161" s="23" t="str">
        <x:v>MAN-2025-00160</x:v>
      </x:c>
      <x:c r="B161" s="24" t="n">
        <x:v>45916</x:v>
      </x:c>
      <x:c r="C161" s="25" t="str">
        <x:v>Mansoura</x:v>
      </x:c>
      <x:c r="D161" s="25" t="str">
        <x:v>Talkha</x:v>
      </x:c>
      <x:c r="E161" s="25" t="str">
        <x:v>Salma Mansour</x:v>
      </x:c>
      <x:c r="F161" s="25" t="str">
        <x:v>Mohamed Nasser</x:v>
      </x:c>
      <x:c r="G161" s="25" t="str">
        <x:v>Small Business</x:v>
      </x:c>
      <x:c r="H161" s="25" t="str">
        <x:v>Website</x:v>
      </x:c>
      <x:c r="I161" s="25" t="str">
        <x:v>Office Supplies</x:v>
      </x:c>
      <x:c r="J161" s="25" t="str">
        <x:v>Calculator</x:v>
      </x:c>
      <x:c r="K161" s="25" t="n">
        <x:v>2</x:v>
      </x:c>
      <x:c r="L161" s="26" t="n">
        <x:v>441</x:v>
      </x:c>
      <x:c r="M161" s="27" t="n">
        <x:v>0</x:v>
      </x:c>
      <x:c r="N161" s="26" t="n">
        <x:f>K161*L161</x:f>
        <x:v>882</x:v>
      </x:c>
      <x:c r="O161" s="26" t="n">
        <x:f>N161*(1-M161)</x:f>
        <x:v>882</x:v>
      </x:c>
      <x:c r="P161" s="26" t="n">
        <x:v>293</x:v>
      </x:c>
      <x:c r="Q161" s="26" t="n">
        <x:f>K161*P161</x:f>
        <x:v>586</x:v>
      </x:c>
      <x:c r="R161" s="26" t="n">
        <x:f>O161-Q161</x:f>
        <x:v>296</x:v>
      </x:c>
      <x:c r="S161" s="28" t="n">
        <x:f>IF(O161=0,0,R161/O161)</x:f>
        <x:v>0.3356009070294785</x:v>
      </x:c>
      <x:c r="T161" s="25" t="str">
        <x:v>Cash</x:v>
      </x:c>
      <x:c r="U161" s="25" t="str">
        <x:v>Completed</x:v>
      </x:c>
      <x:c r="V161" s="29" t="n">
        <x:v>5</x:v>
      </x:c>
    </x:row>
    <x:row r="162">
      <x:c r="A162" s="23" t="str">
        <x:v>MAN-2025-00161</x:v>
      </x:c>
      <x:c r="B162" s="24" t="n">
        <x:v>46004</x:v>
      </x:c>
      <x:c r="C162" s="25" t="str">
        <x:v>Mansoura</x:v>
      </x:c>
      <x:c r="D162" s="25" t="str">
        <x:v>Aga</x:v>
      </x:c>
      <x:c r="E162" s="25" t="str">
        <x:v>Youssef Fathy</x:v>
      </x:c>
      <x:c r="F162" s="25" t="str">
        <x:v>Mariam Sayed</x:v>
      </x:c>
      <x:c r="G162" s="25" t="str">
        <x:v>Corporate</x:v>
      </x:c>
      <x:c r="H162" s="25" t="str">
        <x:v>Website</x:v>
      </x:c>
      <x:c r="I162" s="25" t="str">
        <x:v>Home Appliances</x:v>
      </x:c>
      <x:c r="J162" s="25" t="str">
        <x:v>Blender</x:v>
      </x:c>
      <x:c r="K162" s="25" t="n">
        <x:v>6</x:v>
      </x:c>
      <x:c r="L162" s="26" t="n">
        <x:v>1657</x:v>
      </x:c>
      <x:c r="M162" s="27" t="n">
        <x:v>0.05</x:v>
      </x:c>
      <x:c r="N162" s="26" t="n">
        <x:f>K162*L162</x:f>
        <x:v>9942</x:v>
      </x:c>
      <x:c r="O162" s="26" t="n">
        <x:f>N162*(1-M162)</x:f>
        <x:v>9444.9</x:v>
      </x:c>
      <x:c r="P162" s="26" t="n">
        <x:v>1272</x:v>
      </x:c>
      <x:c r="Q162" s="26" t="n">
        <x:f>K162*P162</x:f>
        <x:v>7632</x:v>
      </x:c>
      <x:c r="R162" s="26" t="n">
        <x:f>O162-Q162</x:f>
        <x:v>1812.8999999999996</x:v>
      </x:c>
      <x:c r="S162" s="28" t="n">
        <x:f>IF(O162=0,0,R162/O162)</x:f>
        <x:v>0.19194485913032427</x:v>
      </x:c>
      <x:c r="T162" s="25" t="str">
        <x:v>Digital Wallet</x:v>
      </x:c>
      <x:c r="U162" s="25" t="str">
        <x:v>Completed</x:v>
      </x:c>
      <x:c r="V162" s="29" t="n">
        <x:v>5</x:v>
      </x:c>
    </x:row>
    <x:row r="163">
      <x:c r="A163" s="23" t="str">
        <x:v>MAN-2025-00162</x:v>
      </x:c>
      <x:c r="B163" s="24" t="n">
        <x:v>45723</x:v>
      </x:c>
      <x:c r="C163" s="25" t="str">
        <x:v>Mansoura</x:v>
      </x:c>
      <x:c r="D163" s="25" t="str">
        <x:v>Aga</x:v>
      </x:c>
      <x:c r="E163" s="25" t="str">
        <x:v>Ali Sayed</x:v>
      </x:c>
      <x:c r="F163" s="25" t="str">
        <x:v>Amr Samir</x:v>
      </x:c>
      <x:c r="G163" s="25" t="str">
        <x:v>Corporate</x:v>
      </x:c>
      <x:c r="H163" s="25" t="str">
        <x:v>Mobile App</x:v>
      </x:c>
      <x:c r="I163" s="25" t="str">
        <x:v>Office Supplies</x:v>
      </x:c>
      <x:c r="J163" s="25" t="str">
        <x:v>Printer</x:v>
      </x:c>
      <x:c r="K163" s="25" t="n">
        <x:v>3</x:v>
      </x:c>
      <x:c r="L163" s="26" t="n">
        <x:v>6498</x:v>
      </x:c>
      <x:c r="M163" s="27" t="n">
        <x:v>0</x:v>
      </x:c>
      <x:c r="N163" s="26" t="n">
        <x:f>K163*L163</x:f>
        <x:v>19494</x:v>
      </x:c>
      <x:c r="O163" s="26" t="n">
        <x:f>N163*(1-M163)</x:f>
        <x:v>19494</x:v>
      </x:c>
      <x:c r="P163" s="26" t="n">
        <x:v>5273</x:v>
      </x:c>
      <x:c r="Q163" s="26" t="n">
        <x:f>K163*P163</x:f>
        <x:v>15819</x:v>
      </x:c>
      <x:c r="R163" s="26" t="n">
        <x:f>O163-Q163</x:f>
        <x:v>3675</x:v>
      </x:c>
      <x:c r="S163" s="28" t="n">
        <x:f>IF(O163=0,0,R163/O163)</x:f>
        <x:v>0.18851954447522315</x:v>
      </x:c>
      <x:c r="T163" s="25" t="str">
        <x:v>Debit Card</x:v>
      </x:c>
      <x:c r="U163" s="25" t="str">
        <x:v>Cancelled</x:v>
      </x:c>
      <x:c r="V163" s="29" t="n">
        <x:v>3</x:v>
      </x:c>
    </x:row>
    <x:row r="164">
      <x:c r="A164" s="23" t="str">
        <x:v>MAN-2025-00163</x:v>
      </x:c>
      <x:c r="B164" s="24" t="n">
        <x:v>45727</x:v>
      </x:c>
      <x:c r="C164" s="25" t="str">
        <x:v>Mansoura</x:v>
      </x:c>
      <x:c r="D164" s="25" t="str">
        <x:v>Mansoura City</x:v>
      </x:c>
      <x:c r="E164" s="25" t="str">
        <x:v>Salma Mansour</x:v>
      </x:c>
      <x:c r="F164" s="25" t="str">
        <x:v>Karim Khalil</x:v>
      </x:c>
      <x:c r="G164" s="25" t="str">
        <x:v>Small Business</x:v>
      </x:c>
      <x:c r="H164" s="25" t="str">
        <x:v>Phone Order</x:v>
      </x:c>
      <x:c r="I164" s="25" t="str">
        <x:v>Office Supplies</x:v>
      </x:c>
      <x:c r="J164" s="25" t="str">
        <x:v>Printer</x:v>
      </x:c>
      <x:c r="K164" s="25" t="n">
        <x:v>3</x:v>
      </x:c>
      <x:c r="L164" s="26" t="n">
        <x:v>6325</x:v>
      </x:c>
      <x:c r="M164" s="27" t="n">
        <x:v>0</x:v>
      </x:c>
      <x:c r="N164" s="26" t="n">
        <x:f>K164*L164</x:f>
        <x:v>18975</x:v>
      </x:c>
      <x:c r="O164" s="26" t="n">
        <x:f>N164*(1-M164)</x:f>
        <x:v>18975</x:v>
      </x:c>
      <x:c r="P164" s="26" t="n">
        <x:v>5336</x:v>
      </x:c>
      <x:c r="Q164" s="26" t="n">
        <x:f>K164*P164</x:f>
        <x:v>16008</x:v>
      </x:c>
      <x:c r="R164" s="26" t="n">
        <x:f>O164-Q164</x:f>
        <x:v>2967</x:v>
      </x:c>
      <x:c r="S164" s="28" t="n">
        <x:f>IF(O164=0,0,R164/O164)</x:f>
        <x:v>0.15636363636363637</x:v>
      </x:c>
      <x:c r="T164" s="25" t="str">
        <x:v>Credit Card</x:v>
      </x:c>
      <x:c r="U164" s="25" t="str">
        <x:v>Completed</x:v>
      </x:c>
      <x:c r="V164" s="29" t="n">
        <x:v>4</x:v>
      </x:c>
    </x:row>
    <x:row r="165">
      <x:c r="A165" s="23" t="str">
        <x:v>MAN-2025-00164</x:v>
      </x:c>
      <x:c r="B165" s="24" t="n">
        <x:v>45877</x:v>
      </x:c>
      <x:c r="C165" s="25" t="str">
        <x:v>Mansoura</x:v>
      </x:c>
      <x:c r="D165" s="25" t="str">
        <x:v>Aga</x:v>
      </x:c>
      <x:c r="E165" s="25" t="str">
        <x:v>Youssef Fathy</x:v>
      </x:c>
      <x:c r="F165" s="25" t="str">
        <x:v>Ali Gamal</x:v>
      </x:c>
      <x:c r="G165" s="25" t="str">
        <x:v>Small Business</x:v>
      </x:c>
      <x:c r="H165" s="25" t="str">
        <x:v>Retail Store</x:v>
      </x:c>
      <x:c r="I165" s="25" t="str">
        <x:v>Furniture</x:v>
      </x:c>
      <x:c r="J165" s="25" t="str">
        <x:v>Bookshelf</x:v>
      </x:c>
      <x:c r="K165" s="25" t="n">
        <x:v>6</x:v>
      </x:c>
      <x:c r="L165" s="26" t="n">
        <x:v>3165</x:v>
      </x:c>
      <x:c r="M165" s="27" t="n">
        <x:v>0</x:v>
      </x:c>
      <x:c r="N165" s="26" t="n">
        <x:f>K165*L165</x:f>
        <x:v>18990</x:v>
      </x:c>
      <x:c r="O165" s="26" t="n">
        <x:f>N165*(1-M165)</x:f>
        <x:v>18990</x:v>
      </x:c>
      <x:c r="P165" s="26" t="n">
        <x:v>2192</x:v>
      </x:c>
      <x:c r="Q165" s="26" t="n">
        <x:f>K165*P165</x:f>
        <x:v>13152</x:v>
      </x:c>
      <x:c r="R165" s="26" t="n">
        <x:f>O165-Q165</x:f>
        <x:v>5838</x:v>
      </x:c>
      <x:c r="S165" s="28" t="n">
        <x:f>IF(O165=0,0,R165/O165)</x:f>
        <x:v>0.3074249605055292</x:v>
      </x:c>
      <x:c r="T165" s="25" t="str">
        <x:v>Bank Transfer</x:v>
      </x:c>
      <x:c r="U165" s="25" t="str">
        <x:v>Completed</x:v>
      </x:c>
      <x:c r="V165" s="29" t="n">
        <x:v>3</x:v>
      </x:c>
    </x:row>
    <x:row r="166">
      <x:c r="A166" s="23" t="str">
        <x:v>MAN-2025-00165</x:v>
      </x:c>
      <x:c r="B166" s="24" t="n">
        <x:v>45781</x:v>
      </x:c>
      <x:c r="C166" s="25" t="str">
        <x:v>Mansoura</x:v>
      </x:c>
      <x:c r="D166" s="25" t="str">
        <x:v>Mansoura City</x:v>
      </x:c>
      <x:c r="E166" s="25" t="str">
        <x:v>Aya Farouk</x:v>
      </x:c>
      <x:c r="F166" s="25" t="str">
        <x:v>Mohamed Hassan</x:v>
      </x:c>
      <x:c r="G166" s="25" t="str">
        <x:v>Small Business</x:v>
      </x:c>
      <x:c r="H166" s="25" t="str">
        <x:v>Retail Store</x:v>
      </x:c>
      <x:c r="I166" s="25" t="str">
        <x:v>Home Appliances</x:v>
      </x:c>
      <x:c r="J166" s="25" t="str">
        <x:v>Air Conditioner</x:v>
      </x:c>
      <x:c r="K166" s="25" t="n">
        <x:v>2</x:v>
      </x:c>
      <x:c r="L166" s="26" t="n">
        <x:v>21183</x:v>
      </x:c>
      <x:c r="M166" s="27" t="n">
        <x:v>0.1</x:v>
      </x:c>
      <x:c r="N166" s="26" t="n">
        <x:f>K166*L166</x:f>
        <x:v>42366</x:v>
      </x:c>
      <x:c r="O166" s="26" t="n">
        <x:f>N166*(1-M166)</x:f>
        <x:v>38129.4</x:v>
      </x:c>
      <x:c r="P166" s="26" t="n">
        <x:v>17858</x:v>
      </x:c>
      <x:c r="Q166" s="26" t="n">
        <x:f>K166*P166</x:f>
        <x:v>35716</x:v>
      </x:c>
      <x:c r="R166" s="26" t="n">
        <x:f>O166-Q166</x:f>
        <x:v>2413.4000000000015</x:v>
      </x:c>
      <x:c r="S166" s="28" t="n">
        <x:f>IF(O166=0,0,R166/O166)</x:f>
        <x:v>0.06329499021752247</x:v>
      </x:c>
      <x:c r="T166" s="25" t="str">
        <x:v>Credit Card</x:v>
      </x:c>
      <x:c r="U166" s="25" t="str">
        <x:v>Cancelled</x:v>
      </x:c>
      <x:c r="V166" s="29" t="n">
        <x:v>3</x:v>
      </x:c>
    </x:row>
    <x:row r="167">
      <x:c r="A167" s="23" t="str">
        <x:v>MAN-2025-00166</x:v>
      </x:c>
      <x:c r="B167" s="24" t="n">
        <x:v>45658</x:v>
      </x:c>
      <x:c r="C167" s="25" t="str">
        <x:v>Mansoura</x:v>
      </x:c>
      <x:c r="D167" s="25" t="str">
        <x:v>Mansoura City</x:v>
      </x:c>
      <x:c r="E167" s="25" t="str">
        <x:v>Youssef Fathy</x:v>
      </x:c>
      <x:c r="F167" s="25" t="str">
        <x:v>Salma Sayed</x:v>
      </x:c>
      <x:c r="G167" s="25" t="str">
        <x:v>Corporate</x:v>
      </x:c>
      <x:c r="H167" s="25" t="str">
        <x:v>Retail Store</x:v>
      </x:c>
      <x:c r="I167" s="25" t="str">
        <x:v>Home Appliances</x:v>
      </x:c>
      <x:c r="J167" s="25" t="str">
        <x:v>Blender</x:v>
      </x:c>
      <x:c r="K167" s="25" t="n">
        <x:v>5</x:v>
      </x:c>
      <x:c r="L167" s="26" t="n">
        <x:v>1717</x:v>
      </x:c>
      <x:c r="M167" s="27" t="n">
        <x:v>0</x:v>
      </x:c>
      <x:c r="N167" s="26" t="n">
        <x:f>K167*L167</x:f>
        <x:v>8585</x:v>
      </x:c>
      <x:c r="O167" s="26" t="n">
        <x:f>N167*(1-M167)</x:f>
        <x:v>8585</x:v>
      </x:c>
      <x:c r="P167" s="26" t="n">
        <x:v>1284</x:v>
      </x:c>
      <x:c r="Q167" s="26" t="n">
        <x:f>K167*P167</x:f>
        <x:v>6420</x:v>
      </x:c>
      <x:c r="R167" s="26" t="n">
        <x:f>O167-Q167</x:f>
        <x:v>2165</x:v>
      </x:c>
      <x:c r="S167" s="28" t="n">
        <x:f>IF(O167=0,0,R167/O167)</x:f>
        <x:v>0.2521840419336051</x:v>
      </x:c>
      <x:c r="T167" s="25" t="str">
        <x:v>Credit Card</x:v>
      </x:c>
      <x:c r="U167" s="25" t="str">
        <x:v>Completed</x:v>
      </x:c>
      <x:c r="V167" s="29" t="n">
        <x:v>5</x:v>
      </x:c>
    </x:row>
    <x:row r="168">
      <x:c r="A168" s="23" t="str">
        <x:v>MAN-2025-00167</x:v>
      </x:c>
      <x:c r="B168" s="24" t="n">
        <x:v>45802</x:v>
      </x:c>
      <x:c r="C168" s="25" t="str">
        <x:v>Mansoura</x:v>
      </x:c>
      <x:c r="D168" s="25" t="str">
        <x:v>Talkha</x:v>
      </x:c>
      <x:c r="E168" s="25" t="str">
        <x:v>Ali Sayed</x:v>
      </x:c>
      <x:c r="F168" s="25" t="str">
        <x:v>Mariam Farouk</x:v>
      </x:c>
      <x:c r="G168" s="25" t="str">
        <x:v>Corporate</x:v>
      </x:c>
      <x:c r="H168" s="25" t="str">
        <x:v>Phone Order</x:v>
      </x:c>
      <x:c r="I168" s="25" t="str">
        <x:v>Furniture</x:v>
      </x:c>
      <x:c r="J168" s="25" t="str">
        <x:v>Sofa</x:v>
      </x:c>
      <x:c r="K168" s="25" t="n">
        <x:v>2</x:v>
      </x:c>
      <x:c r="L168" s="26" t="n">
        <x:v>13300</x:v>
      </x:c>
      <x:c r="M168" s="27" t="n">
        <x:v>0.05</x:v>
      </x:c>
      <x:c r="N168" s="26" t="n">
        <x:f>K168*L168</x:f>
        <x:v>26600</x:v>
      </x:c>
      <x:c r="O168" s="26" t="n">
        <x:f>N168*(1-M168)</x:f>
        <x:v>25270</x:v>
      </x:c>
      <x:c r="P168" s="26" t="n">
        <x:v>10661</x:v>
      </x:c>
      <x:c r="Q168" s="26" t="n">
        <x:f>K168*P168</x:f>
        <x:v>21322</x:v>
      </x:c>
      <x:c r="R168" s="26" t="n">
        <x:f>O168-Q168</x:f>
        <x:v>3948</x:v>
      </x:c>
      <x:c r="S168" s="28" t="n">
        <x:f>IF(O168=0,0,R168/O168)</x:f>
        <x:v>0.1562326869806094</x:v>
      </x:c>
      <x:c r="T168" s="25" t="str">
        <x:v>Cash</x:v>
      </x:c>
      <x:c r="U168" s="25" t="str">
        <x:v>Completed</x:v>
      </x:c>
      <x:c r="V168" s="29" t="n">
        <x:v>5</x:v>
      </x:c>
    </x:row>
    <x:row r="169">
      <x:c r="A169" s="23" t="str">
        <x:v>MAN-2025-00168</x:v>
      </x:c>
      <x:c r="B169" s="24" t="n">
        <x:v>45698</x:v>
      </x:c>
      <x:c r="C169" s="25" t="str">
        <x:v>Mansoura</x:v>
      </x:c>
      <x:c r="D169" s="25" t="str">
        <x:v>Aga</x:v>
      </x:c>
      <x:c r="E169" s="25" t="str">
        <x:v>Aya Farouk</x:v>
      </x:c>
      <x:c r="F169" s="25" t="str">
        <x:v>Sara Nasser</x:v>
      </x:c>
      <x:c r="G169" s="25" t="str">
        <x:v>Small Business</x:v>
      </x:c>
      <x:c r="H169" s="25" t="str">
        <x:v>Website</x:v>
      </x:c>
      <x:c r="I169" s="25" t="str">
        <x:v>Furniture</x:v>
      </x:c>
      <x:c r="J169" s="25" t="str">
        <x:v>Desk</x:v>
      </x:c>
      <x:c r="K169" s="25" t="n">
        <x:v>4</x:v>
      </x:c>
      <x:c r="L169" s="26" t="n">
        <x:v>5027</x:v>
      </x:c>
      <x:c r="M169" s="27" t="n">
        <x:v>0.05</x:v>
      </x:c>
      <x:c r="N169" s="26" t="n">
        <x:f>K169*L169</x:f>
        <x:v>20108</x:v>
      </x:c>
      <x:c r="O169" s="26" t="n">
        <x:f>N169*(1-M169)</x:f>
        <x:v>19102.6</x:v>
      </x:c>
      <x:c r="P169" s="26" t="n">
        <x:v>3963</x:v>
      </x:c>
      <x:c r="Q169" s="26" t="n">
        <x:f>K169*P169</x:f>
        <x:v>15852</x:v>
      </x:c>
      <x:c r="R169" s="26" t="n">
        <x:f>O169-Q169</x:f>
        <x:v>3250.5999999999985</x:v>
      </x:c>
      <x:c r="S169" s="28" t="n">
        <x:f>IF(O169=0,0,R169/O169)</x:f>
        <x:v>0.17016531781014096</x:v>
      </x:c>
      <x:c r="T169" s="25" t="str">
        <x:v>Cash</x:v>
      </x:c>
      <x:c r="U169" s="25" t="str">
        <x:v>Completed</x:v>
      </x:c>
      <x:c r="V169" s="29" t="n">
        <x:v>3</x:v>
      </x:c>
    </x:row>
    <x:row r="170">
      <x:c r="A170" s="23" t="str">
        <x:v>MAN-2025-00169</x:v>
      </x:c>
      <x:c r="B170" s="24" t="n">
        <x:v>45803</x:v>
      </x:c>
      <x:c r="C170" s="25" t="str">
        <x:v>Mansoura</x:v>
      </x:c>
      <x:c r="D170" s="25" t="str">
        <x:v>Mansoura City</x:v>
      </x:c>
      <x:c r="E170" s="25" t="str">
        <x:v>Youssef Fathy</x:v>
      </x:c>
      <x:c r="F170" s="25" t="str">
        <x:v>Mostafa Farouk</x:v>
      </x:c>
      <x:c r="G170" s="25" t="str">
        <x:v>Corporate</x:v>
      </x:c>
      <x:c r="H170" s="25" t="str">
        <x:v>Website</x:v>
      </x:c>
      <x:c r="I170" s="25" t="str">
        <x:v>Home Appliances</x:v>
      </x:c>
      <x:c r="J170" s="25" t="str">
        <x:v>Washing Machine</x:v>
      </x:c>
      <x:c r="K170" s="25" t="n">
        <x:v>6</x:v>
      </x:c>
      <x:c r="L170" s="26" t="n">
        <x:v>15505</x:v>
      </x:c>
      <x:c r="M170" s="27" t="n">
        <x:v>0.1</x:v>
      </x:c>
      <x:c r="N170" s="26" t="n">
        <x:f>K170*L170</x:f>
        <x:v>93030</x:v>
      </x:c>
      <x:c r="O170" s="26" t="n">
        <x:f>N170*(1-M170)</x:f>
        <x:v>83727</x:v>
      </x:c>
      <x:c r="P170" s="26" t="n">
        <x:v>14414</x:v>
      </x:c>
      <x:c r="Q170" s="26" t="n">
        <x:f>K170*P170</x:f>
        <x:v>86484</x:v>
      </x:c>
      <x:c r="R170" s="26" t="n">
        <x:f>O170-Q170</x:f>
        <x:v>-2757</x:v>
      </x:c>
      <x:c r="S170" s="28" t="n">
        <x:f>IF(O170=0,0,R170/O170)</x:f>
        <x:v>-0.03292844602099681</x:v>
      </x:c>
      <x:c r="T170" s="25" t="str">
        <x:v>Cash</x:v>
      </x:c>
      <x:c r="U170" s="25" t="str">
        <x:v>Completed</x:v>
      </x:c>
      <x:c r="V170" s="29" t="n">
        <x:v>5</x:v>
      </x:c>
    </x:row>
    <x:row r="171">
      <x:c r="A171" s="23" t="str">
        <x:v>MAN-2025-00170</x:v>
      </x:c>
      <x:c r="B171" s="24" t="n">
        <x:v>45787</x:v>
      </x:c>
      <x:c r="C171" s="25" t="str">
        <x:v>Mansoura</x:v>
      </x:c>
      <x:c r="D171" s="25" t="str">
        <x:v>Mansoura City</x:v>
      </x:c>
      <x:c r="E171" s="25" t="str">
        <x:v>Salma Mansour</x:v>
      </x:c>
      <x:c r="F171" s="25" t="str">
        <x:v>Sara Nasser</x:v>
      </x:c>
      <x:c r="G171" s="25" t="str">
        <x:v>Consumer</x:v>
      </x:c>
      <x:c r="H171" s="25" t="str">
        <x:v>Mobile App</x:v>
      </x:c>
      <x:c r="I171" s="25" t="str">
        <x:v>Electronics</x:v>
      </x:c>
      <x:c r="J171" s="25" t="str">
        <x:v>Tablet</x:v>
      </x:c>
      <x:c r="K171" s="25" t="n">
        <x:v>1</x:v>
      </x:c>
      <x:c r="L171" s="26" t="n">
        <x:v>8854</x:v>
      </x:c>
      <x:c r="M171" s="27" t="n">
        <x:v>0.15</x:v>
      </x:c>
      <x:c r="N171" s="26" t="n">
        <x:f>K171*L171</x:f>
        <x:v>8854</x:v>
      </x:c>
      <x:c r="O171" s="26" t="n">
        <x:f>N171*(1-M171)</x:f>
        <x:v>7525.9</x:v>
      </x:c>
      <x:c r="P171" s="26" t="n">
        <x:v>7588</x:v>
      </x:c>
      <x:c r="Q171" s="26" t="n">
        <x:f>K171*P171</x:f>
        <x:v>7588</x:v>
      </x:c>
      <x:c r="R171" s="26" t="n">
        <x:f>O171-Q171</x:f>
        <x:v>-62.100000000000364</x:v>
      </x:c>
      <x:c r="S171" s="28" t="n">
        <x:f>IF(O171=0,0,R171/O171)</x:f>
        <x:v>-0.008251504803412265</x:v>
      </x:c>
      <x:c r="T171" s="25" t="str">
        <x:v>Bank Transfer</x:v>
      </x:c>
      <x:c r="U171" s="25" t="str">
        <x:v>Completed</x:v>
      </x:c>
      <x:c r="V171" s="29" t="n">
        <x:v>5</x:v>
      </x:c>
    </x:row>
    <x:row r="172">
      <x:c r="A172" s="23" t="str">
        <x:v>MAN-2025-00171</x:v>
      </x:c>
      <x:c r="B172" s="24" t="n">
        <x:v>45925</x:v>
      </x:c>
      <x:c r="C172" s="25" t="str">
        <x:v>Mansoura</x:v>
      </x:c>
      <x:c r="D172" s="25" t="str">
        <x:v>Mansoura City</x:v>
      </x:c>
      <x:c r="E172" s="25" t="str">
        <x:v>Aya Farouk</x:v>
      </x:c>
      <x:c r="F172" s="25" t="str">
        <x:v>Ahmed Fathy</x:v>
      </x:c>
      <x:c r="G172" s="25" t="str">
        <x:v>Small Business</x:v>
      </x:c>
      <x:c r="H172" s="25" t="str">
        <x:v>Retail Store</x:v>
      </x:c>
      <x:c r="I172" s="25" t="str">
        <x:v>Furniture</x:v>
      </x:c>
      <x:c r="J172" s="25" t="str">
        <x:v>Desk</x:v>
      </x:c>
      <x:c r="K172" s="25" t="n">
        <x:v>4</x:v>
      </x:c>
      <x:c r="L172" s="26" t="n">
        <x:v>4840</x:v>
      </x:c>
      <x:c r="M172" s="27" t="n">
        <x:v>0</x:v>
      </x:c>
      <x:c r="N172" s="26" t="n">
        <x:f>K172*L172</x:f>
        <x:v>19360</x:v>
      </x:c>
      <x:c r="O172" s="26" t="n">
        <x:f>N172*(1-M172)</x:f>
        <x:v>19360</x:v>
      </x:c>
      <x:c r="P172" s="26" t="n">
        <x:v>3958</x:v>
      </x:c>
      <x:c r="Q172" s="26" t="n">
        <x:f>K172*P172</x:f>
        <x:v>15832</x:v>
      </x:c>
      <x:c r="R172" s="26" t="n">
        <x:f>O172-Q172</x:f>
        <x:v>3528</x:v>
      </x:c>
      <x:c r="S172" s="28" t="n">
        <x:f>IF(O172=0,0,R172/O172)</x:f>
        <x:v>0.18223140495867768</x:v>
      </x:c>
      <x:c r="T172" s="25" t="str">
        <x:v>Credit Card</x:v>
      </x:c>
      <x:c r="U172" s="25" t="str">
        <x:v>Completed</x:v>
      </x:c>
      <x:c r="V172" s="29" t="n">
        <x:v>5</x:v>
      </x:c>
    </x:row>
    <x:row r="173">
      <x:c r="A173" s="23" t="str">
        <x:v>MAN-2025-00172</x:v>
      </x:c>
      <x:c r="B173" s="24" t="n">
        <x:v>45974</x:v>
      </x:c>
      <x:c r="C173" s="25" t="str">
        <x:v>Mansoura</x:v>
      </x:c>
      <x:c r="D173" s="25" t="str">
        <x:v>Aga</x:v>
      </x:c>
      <x:c r="E173" s="25" t="str">
        <x:v>Salma Mansour</x:v>
      </x:c>
      <x:c r="F173" s="25" t="str">
        <x:v>Ali Nasser</x:v>
      </x:c>
      <x:c r="G173" s="25" t="str">
        <x:v>Consumer</x:v>
      </x:c>
      <x:c r="H173" s="25" t="str">
        <x:v>Retail Store</x:v>
      </x:c>
      <x:c r="I173" s="25" t="str">
        <x:v>Office Supplies</x:v>
      </x:c>
      <x:c r="J173" s="25" t="str">
        <x:v>Calculator</x:v>
      </x:c>
      <x:c r="K173" s="25" t="n">
        <x:v>6</x:v>
      </x:c>
      <x:c r="L173" s="26" t="n">
        <x:v>434</x:v>
      </x:c>
      <x:c r="M173" s="27" t="n">
        <x:v>0.05</x:v>
      </x:c>
      <x:c r="N173" s="26" t="n">
        <x:f>K173*L173</x:f>
        <x:v>2604</x:v>
      </x:c>
      <x:c r="O173" s="26" t="n">
        <x:f>N173*(1-M173)</x:f>
        <x:v>2473.7999999999997</x:v>
      </x:c>
      <x:c r="P173" s="26" t="n">
        <x:v>279</x:v>
      </x:c>
      <x:c r="Q173" s="26" t="n">
        <x:f>K173*P173</x:f>
        <x:v>1674</x:v>
      </x:c>
      <x:c r="R173" s="26" t="n">
        <x:f>O173-Q173</x:f>
        <x:v>799.7999999999997</x:v>
      </x:c>
      <x:c r="S173" s="28" t="n">
        <x:f>IF(O173=0,0,R173/O173)</x:f>
        <x:v>0.32330827067669166</x:v>
      </x:c>
      <x:c r="T173" s="25" t="str">
        <x:v>Bank Transfer</x:v>
      </x:c>
      <x:c r="U173" s="25" t="str">
        <x:v>Completed</x:v>
      </x:c>
      <x:c r="V173" s="29" t="n">
        <x:v>4</x:v>
      </x:c>
    </x:row>
    <x:row r="174">
      <x:c r="A174" s="23" t="str">
        <x:v>MAN-2025-00173</x:v>
      </x:c>
      <x:c r="B174" s="24" t="n">
        <x:v>45975</x:v>
      </x:c>
      <x:c r="C174" s="25" t="str">
        <x:v>Mansoura</x:v>
      </x:c>
      <x:c r="D174" s="25" t="str">
        <x:v>Sherbin</x:v>
      </x:c>
      <x:c r="E174" s="25" t="str">
        <x:v>Youssef Fathy</x:v>
      </x:c>
      <x:c r="F174" s="25" t="str">
        <x:v>Aya Gamal</x:v>
      </x:c>
      <x:c r="G174" s="25" t="str">
        <x:v>Small Business</x:v>
      </x:c>
      <x:c r="H174" s="25" t="str">
        <x:v>Mobile App</x:v>
      </x:c>
      <x:c r="I174" s="25" t="str">
        <x:v>Office Supplies</x:v>
      </x:c>
      <x:c r="J174" s="25" t="str">
        <x:v>Printer</x:v>
      </x:c>
      <x:c r="K174" s="25" t="n">
        <x:v>3</x:v>
      </x:c>
      <x:c r="L174" s="26" t="n">
        <x:v>6205</x:v>
      </x:c>
      <x:c r="M174" s="27" t="n">
        <x:v>0</x:v>
      </x:c>
      <x:c r="N174" s="26" t="n">
        <x:f>K174*L174</x:f>
        <x:v>18615</x:v>
      </x:c>
      <x:c r="O174" s="26" t="n">
        <x:f>N174*(1-M174)</x:f>
        <x:v>18615</x:v>
      </x:c>
      <x:c r="P174" s="26" t="n">
        <x:v>5378</x:v>
      </x:c>
      <x:c r="Q174" s="26" t="n">
        <x:f>K174*P174</x:f>
        <x:v>16134</x:v>
      </x:c>
      <x:c r="R174" s="26" t="n">
        <x:f>O174-Q174</x:f>
        <x:v>2481</x:v>
      </x:c>
      <x:c r="S174" s="28" t="n">
        <x:f>IF(O174=0,0,R174/O174)</x:f>
        <x:v>0.13327961321514908</x:v>
      </x:c>
      <x:c r="T174" s="25" t="str">
        <x:v>Bank Transfer</x:v>
      </x:c>
      <x:c r="U174" s="25" t="str">
        <x:v>Cancelled</x:v>
      </x:c>
      <x:c r="V174" s="29" t="n">
        <x:v>4</x:v>
      </x:c>
    </x:row>
    <x:row r="175">
      <x:c r="A175" s="23" t="str">
        <x:v>MAN-2025-00174</x:v>
      </x:c>
      <x:c r="B175" s="24" t="n">
        <x:v>45709</x:v>
      </x:c>
      <x:c r="C175" s="25" t="str">
        <x:v>Mansoura</x:v>
      </x:c>
      <x:c r="D175" s="25" t="str">
        <x:v>Talkha</x:v>
      </x:c>
      <x:c r="E175" s="25" t="str">
        <x:v>Salma Mansour</x:v>
      </x:c>
      <x:c r="F175" s="25" t="str">
        <x:v>Hana Khalil</x:v>
      </x:c>
      <x:c r="G175" s="25" t="str">
        <x:v>Small Business</x:v>
      </x:c>
      <x:c r="H175" s="25" t="str">
        <x:v>Phone Order</x:v>
      </x:c>
      <x:c r="I175" s="25" t="str">
        <x:v>Office Supplies</x:v>
      </x:c>
      <x:c r="J175" s="25" t="str">
        <x:v>Printer</x:v>
      </x:c>
      <x:c r="K175" s="25" t="n">
        <x:v>6</x:v>
      </x:c>
      <x:c r="L175" s="26" t="n">
        <x:v>6406</x:v>
      </x:c>
      <x:c r="M175" s="27" t="n">
        <x:v>0.05</x:v>
      </x:c>
      <x:c r="N175" s="26" t="n">
        <x:f>K175*L175</x:f>
        <x:v>38436</x:v>
      </x:c>
      <x:c r="O175" s="26" t="n">
        <x:f>N175*(1-M175)</x:f>
        <x:v>36514.2</x:v>
      </x:c>
      <x:c r="P175" s="26" t="n">
        <x:v>5554</x:v>
      </x:c>
      <x:c r="Q175" s="26" t="n">
        <x:f>K175*P175</x:f>
        <x:v>33324</x:v>
      </x:c>
      <x:c r="R175" s="26" t="n">
        <x:f>O175-Q175</x:f>
        <x:v>3190.199999999997</x:v>
      </x:c>
      <x:c r="S175" s="28" t="n">
        <x:f>IF(O175=0,0,R175/O175)</x:f>
        <x:v>0.08736874969190062</x:v>
      </x:c>
      <x:c r="T175" s="25" t="str">
        <x:v>Credit Card</x:v>
      </x:c>
      <x:c r="U175" s="25" t="str">
        <x:v>Returned</x:v>
      </x:c>
      <x:c r="V175" s="29" t="n">
        <x:v>3</x:v>
      </x:c>
    </x:row>
    <x:row r="176">
      <x:c r="A176" s="23" t="str">
        <x:v>MAN-2025-00175</x:v>
      </x:c>
      <x:c r="B176" s="24" t="n">
        <x:v>46014</x:v>
      </x:c>
      <x:c r="C176" s="25" t="str">
        <x:v>Mansoura</x:v>
      </x:c>
      <x:c r="D176" s="25" t="str">
        <x:v>Mansoura City</x:v>
      </x:c>
      <x:c r="E176" s="25" t="str">
        <x:v>Salma Mansour</x:v>
      </x:c>
      <x:c r="F176" s="25" t="str">
        <x:v>Ahmed Tarek</x:v>
      </x:c>
      <x:c r="G176" s="25" t="str">
        <x:v>Consumer</x:v>
      </x:c>
      <x:c r="H176" s="25" t="str">
        <x:v>Website</x:v>
      </x:c>
      <x:c r="I176" s="25" t="str">
        <x:v>Furniture</x:v>
      </x:c>
      <x:c r="J176" s="25" t="str">
        <x:v>Office Chair</x:v>
      </x:c>
      <x:c r="K176" s="25" t="n">
        <x:v>1</x:v>
      </x:c>
      <x:c r="L176" s="26" t="n">
        <x:v>3984</x:v>
      </x:c>
      <x:c r="M176" s="27" t="n">
        <x:v>0</x:v>
      </x:c>
      <x:c r="N176" s="26" t="n">
        <x:f>K176*L176</x:f>
        <x:v>3984</x:v>
      </x:c>
      <x:c r="O176" s="26" t="n">
        <x:f>N176*(1-M176)</x:f>
        <x:v>3984</x:v>
      </x:c>
      <x:c r="P176" s="26" t="n">
        <x:v>2813</x:v>
      </x:c>
      <x:c r="Q176" s="26" t="n">
        <x:f>K176*P176</x:f>
        <x:v>2813</x:v>
      </x:c>
      <x:c r="R176" s="26" t="n">
        <x:f>O176-Q176</x:f>
        <x:v>1171</x:v>
      </x:c>
      <x:c r="S176" s="28" t="n">
        <x:f>IF(O176=0,0,R176/O176)</x:f>
        <x:v>0.29392570281124497</x:v>
      </x:c>
      <x:c r="T176" s="25" t="str">
        <x:v>Credit Card</x:v>
      </x:c>
      <x:c r="U176" s="25" t="str">
        <x:v>Completed</x:v>
      </x:c>
      <x:c r="V176" s="29" t="n">
        <x:v>4</x:v>
      </x:c>
    </x:row>
    <x:row r="177">
      <x:c r="A177" s="23" t="str">
        <x:v>MAN-2025-00176</x:v>
      </x:c>
      <x:c r="B177" s="24" t="n">
        <x:v>45683</x:v>
      </x:c>
      <x:c r="C177" s="25" t="str">
        <x:v>Mansoura</x:v>
      </x:c>
      <x:c r="D177" s="25" t="str">
        <x:v>Talkha</x:v>
      </x:c>
      <x:c r="E177" s="25" t="str">
        <x:v>Youssef Fathy</x:v>
      </x:c>
      <x:c r="F177" s="25" t="str">
        <x:v>Mariam Khalil</x:v>
      </x:c>
      <x:c r="G177" s="25" t="str">
        <x:v>Consumer</x:v>
      </x:c>
      <x:c r="H177" s="25" t="str">
        <x:v>Phone Order</x:v>
      </x:c>
      <x:c r="I177" s="25" t="str">
        <x:v>Furniture</x:v>
      </x:c>
      <x:c r="J177" s="25" t="str">
        <x:v>Sofa</x:v>
      </x:c>
      <x:c r="K177" s="25" t="n">
        <x:v>5</x:v>
      </x:c>
      <x:c r="L177" s="26" t="n">
        <x:v>12781</x:v>
      </x:c>
      <x:c r="M177" s="27" t="n">
        <x:v>0</x:v>
      </x:c>
      <x:c r="N177" s="26" t="n">
        <x:f>K177*L177</x:f>
        <x:v>63905</x:v>
      </x:c>
      <x:c r="O177" s="26" t="n">
        <x:f>N177*(1-M177)</x:f>
        <x:v>63905</x:v>
      </x:c>
      <x:c r="P177" s="26" t="n">
        <x:v>11148</x:v>
      </x:c>
      <x:c r="Q177" s="26" t="n">
        <x:f>K177*P177</x:f>
        <x:v>55740</x:v>
      </x:c>
      <x:c r="R177" s="26" t="n">
        <x:f>O177-Q177</x:f>
        <x:v>8165</x:v>
      </x:c>
      <x:c r="S177" s="28" t="n">
        <x:f>IF(O177=0,0,R177/O177)</x:f>
        <x:v>0.12776778029888114</x:v>
      </x:c>
      <x:c r="T177" s="25" t="str">
        <x:v>Cash</x:v>
      </x:c>
      <x:c r="U177" s="25" t="str">
        <x:v>Cancelled</x:v>
      </x:c>
      <x:c r="V177" s="29" t="n">
        <x:v>4</x:v>
      </x:c>
    </x:row>
    <x:row r="178">
      <x:c r="A178" s="23" t="str">
        <x:v>MAN-2025-00177</x:v>
      </x:c>
      <x:c r="B178" s="24" t="n">
        <x:v>45967</x:v>
      </x:c>
      <x:c r="C178" s="25" t="str">
        <x:v>Mansoura</x:v>
      </x:c>
      <x:c r="D178" s="25" t="str">
        <x:v>Sherbin</x:v>
      </x:c>
      <x:c r="E178" s="25" t="str">
        <x:v>Ali Sayed</x:v>
      </x:c>
      <x:c r="F178" s="25" t="str">
        <x:v>Mohamed Samir</x:v>
      </x:c>
      <x:c r="G178" s="25" t="str">
        <x:v>Corporate</x:v>
      </x:c>
      <x:c r="H178" s="25" t="str">
        <x:v>Retail Store</x:v>
      </x:c>
      <x:c r="I178" s="25" t="str">
        <x:v>Furniture</x:v>
      </x:c>
      <x:c r="J178" s="25" t="str">
        <x:v>Desk</x:v>
      </x:c>
      <x:c r="K178" s="25" t="n">
        <x:v>2</x:v>
      </x:c>
      <x:c r="L178" s="26" t="n">
        <x:v>5363</x:v>
      </x:c>
      <x:c r="M178" s="27" t="n">
        <x:v>0.1</x:v>
      </x:c>
      <x:c r="N178" s="26" t="n">
        <x:f>K178*L178</x:f>
        <x:v>10726</x:v>
      </x:c>
      <x:c r="O178" s="26" t="n">
        <x:f>N178*(1-M178)</x:f>
        <x:v>9653.4</x:v>
      </x:c>
      <x:c r="P178" s="26" t="n">
        <x:v>3984</x:v>
      </x:c>
      <x:c r="Q178" s="26" t="n">
        <x:f>K178*P178</x:f>
        <x:v>7968</x:v>
      </x:c>
      <x:c r="R178" s="26" t="n">
        <x:f>O178-Q178</x:f>
        <x:v>1685.3999999999996</x:v>
      </x:c>
      <x:c r="S178" s="28" t="n">
        <x:f>IF(O178=0,0,R178/O178)</x:f>
        <x:v>0.17459133569519544</x:v>
      </x:c>
      <x:c r="T178" s="25" t="str">
        <x:v>Bank Transfer</x:v>
      </x:c>
      <x:c r="U178" s="25" t="str">
        <x:v>Completed</x:v>
      </x:c>
      <x:c r="V178" s="29" t="n">
        <x:v>5</x:v>
      </x:c>
    </x:row>
    <x:row r="179">
      <x:c r="A179" s="23" t="str">
        <x:v>MAN-2025-00178</x:v>
      </x:c>
      <x:c r="B179" s="24" t="n">
        <x:v>45976</x:v>
      </x:c>
      <x:c r="C179" s="25" t="str">
        <x:v>Mansoura</x:v>
      </x:c>
      <x:c r="D179" s="25" t="str">
        <x:v>Mansoura City</x:v>
      </x:c>
      <x:c r="E179" s="25" t="str">
        <x:v>Ali Sayed</x:v>
      </x:c>
      <x:c r="F179" s="25" t="str">
        <x:v>Farah Khalil</x:v>
      </x:c>
      <x:c r="G179" s="25" t="str">
        <x:v>Consumer</x:v>
      </x:c>
      <x:c r="H179" s="25" t="str">
        <x:v>Website</x:v>
      </x:c>
      <x:c r="I179" s="25" t="str">
        <x:v>Office Supplies</x:v>
      </x:c>
      <x:c r="J179" s="25" t="str">
        <x:v>Paper Box</x:v>
      </x:c>
      <x:c r="K179" s="25" t="n">
        <x:v>6</x:v>
      </x:c>
      <x:c r="L179" s="26" t="n">
        <x:v>352</x:v>
      </x:c>
      <x:c r="M179" s="27" t="n">
        <x:v>0.05</x:v>
      </x:c>
      <x:c r="N179" s="26" t="n">
        <x:f>K179*L179</x:f>
        <x:v>2112</x:v>
      </x:c>
      <x:c r="O179" s="26" t="n">
        <x:f>N179*(1-M179)</x:f>
        <x:v>2006.3999999999999</x:v>
      </x:c>
      <x:c r="P179" s="26" t="n">
        <x:v>263</x:v>
      </x:c>
      <x:c r="Q179" s="26" t="n">
        <x:f>K179*P179</x:f>
        <x:v>1578</x:v>
      </x:c>
      <x:c r="R179" s="26" t="n">
        <x:f>O179-Q179</x:f>
        <x:v>428.39999999999986</x:v>
      </x:c>
      <x:c r="S179" s="28" t="n">
        <x:f>IF(O179=0,0,R179/O179)</x:f>
        <x:v>0.2135167464114832</x:v>
      </x:c>
      <x:c r="T179" s="25" t="str">
        <x:v>Bank Transfer</x:v>
      </x:c>
      <x:c r="U179" s="25" t="str">
        <x:v>Completed</x:v>
      </x:c>
      <x:c r="V179" s="29" t="n">
        <x:v>4</x:v>
      </x:c>
    </x:row>
    <x:row r="180">
      <x:c r="A180" s="23" t="str">
        <x:v>MAN-2025-00179</x:v>
      </x:c>
      <x:c r="B180" s="24" t="n">
        <x:v>46017</x:v>
      </x:c>
      <x:c r="C180" s="25" t="str">
        <x:v>Mansoura</x:v>
      </x:c>
      <x:c r="D180" s="25" t="str">
        <x:v>Mansoura City</x:v>
      </x:c>
      <x:c r="E180" s="25" t="str">
        <x:v>Youssef Fathy</x:v>
      </x:c>
      <x:c r="F180" s="25" t="str">
        <x:v>Mariam Sayed</x:v>
      </x:c>
      <x:c r="G180" s="25" t="str">
        <x:v>Corporate</x:v>
      </x:c>
      <x:c r="H180" s="25" t="str">
        <x:v>Mobile App</x:v>
      </x:c>
      <x:c r="I180" s="25" t="str">
        <x:v>Home Appliances</x:v>
      </x:c>
      <x:c r="J180" s="25" t="str">
        <x:v>Washing Machine</x:v>
      </x:c>
      <x:c r="K180" s="25" t="n">
        <x:v>5</x:v>
      </x:c>
      <x:c r="L180" s="26" t="n">
        <x:v>16415</x:v>
      </x:c>
      <x:c r="M180" s="27" t="n">
        <x:v>0</x:v>
      </x:c>
      <x:c r="N180" s="26" t="n">
        <x:f>K180*L180</x:f>
        <x:v>82075</x:v>
      </x:c>
      <x:c r="O180" s="26" t="n">
        <x:f>N180*(1-M180)</x:f>
        <x:v>82075</x:v>
      </x:c>
      <x:c r="P180" s="26" t="n">
        <x:v>13853</x:v>
      </x:c>
      <x:c r="Q180" s="26" t="n">
        <x:f>K180*P180</x:f>
        <x:v>69265</x:v>
      </x:c>
      <x:c r="R180" s="26" t="n">
        <x:f>O180-Q180</x:f>
        <x:v>12810</x:v>
      </x:c>
      <x:c r="S180" s="28" t="n">
        <x:f>IF(O180=0,0,R180/O180)</x:f>
        <x:v>0.1560767590618337</x:v>
      </x:c>
      <x:c r="T180" s="25" t="str">
        <x:v>Bank Transfer</x:v>
      </x:c>
      <x:c r="U180" s="25" t="str">
        <x:v>Completed</x:v>
      </x:c>
      <x:c r="V180" s="29" t="n">
        <x:v>4</x:v>
      </x:c>
    </x:row>
    <x:row r="181">
      <x:c r="A181" s="23" t="str">
        <x:v>MAN-2025-00180</x:v>
      </x:c>
      <x:c r="B181" s="24" t="n">
        <x:v>45782</x:v>
      </x:c>
      <x:c r="C181" s="25" t="str">
        <x:v>Mansoura</x:v>
      </x:c>
      <x:c r="D181" s="25" t="str">
        <x:v>Talkha</x:v>
      </x:c>
      <x:c r="E181" s="25" t="str">
        <x:v>Aya Farouk</x:v>
      </x:c>
      <x:c r="F181" s="25" t="str">
        <x:v>Karim Samir</x:v>
      </x:c>
      <x:c r="G181" s="25" t="str">
        <x:v>Corporate</x:v>
      </x:c>
      <x:c r="H181" s="25" t="str">
        <x:v>Retail Store</x:v>
      </x:c>
      <x:c r="I181" s="25" t="str">
        <x:v>Office Supplies</x:v>
      </x:c>
      <x:c r="J181" s="25" t="str">
        <x:v>Calculator</x:v>
      </x:c>
      <x:c r="K181" s="25" t="n">
        <x:v>2</x:v>
      </x:c>
      <x:c r="L181" s="26" t="n">
        <x:v>453</x:v>
      </x:c>
      <x:c r="M181" s="27" t="n">
        <x:v>0</x:v>
      </x:c>
      <x:c r="N181" s="26" t="n">
        <x:f>K181*L181</x:f>
        <x:v>906</x:v>
      </x:c>
      <x:c r="O181" s="26" t="n">
        <x:f>N181*(1-M181)</x:f>
        <x:v>906</x:v>
      </x:c>
      <x:c r="P181" s="26" t="n">
        <x:v>284</x:v>
      </x:c>
      <x:c r="Q181" s="26" t="n">
        <x:f>K181*P181</x:f>
        <x:v>568</x:v>
      </x:c>
      <x:c r="R181" s="26" t="n">
        <x:f>O181-Q181</x:f>
        <x:v>338</x:v>
      </x:c>
      <x:c r="S181" s="28" t="n">
        <x:f>IF(O181=0,0,R181/O181)</x:f>
        <x:v>0.3730684326710817</x:v>
      </x:c>
      <x:c r="T181" s="25" t="str">
        <x:v>Cash</x:v>
      </x:c>
      <x:c r="U181" s="25" t="str">
        <x:v>Cancelled</x:v>
      </x:c>
      <x:c r="V181" s="29" t="n">
        <x:v>5</x:v>
      </x:c>
    </x:row>
    <x:row r="182">
      <x:c r="A182" s="23" t="str">
        <x:v>MAN-2025-00181</x:v>
      </x:c>
      <x:c r="B182" s="24" t="n">
        <x:v>45991</x:v>
      </x:c>
      <x:c r="C182" s="25" t="str">
        <x:v>Mansoura</x:v>
      </x:c>
      <x:c r="D182" s="25" t="str">
        <x:v>Aga</x:v>
      </x:c>
      <x:c r="E182" s="25" t="str">
        <x:v>Ali Sayed</x:v>
      </x:c>
      <x:c r="F182" s="25" t="str">
        <x:v>Aya Farouk</x:v>
      </x:c>
      <x:c r="G182" s="25" t="str">
        <x:v>Small Business</x:v>
      </x:c>
      <x:c r="H182" s="25" t="str">
        <x:v>Website</x:v>
      </x:c>
      <x:c r="I182" s="25" t="str">
        <x:v>Electronics</x:v>
      </x:c>
      <x:c r="J182" s="25" t="str">
        <x:v>Tablet</x:v>
      </x:c>
      <x:c r="K182" s="25" t="n">
        <x:v>2</x:v>
      </x:c>
      <x:c r="L182" s="26" t="n">
        <x:v>8943</x:v>
      </x:c>
      <x:c r="M182" s="27" t="n">
        <x:v>0.1</x:v>
      </x:c>
      <x:c r="N182" s="26" t="n">
        <x:f>K182*L182</x:f>
        <x:v>17886</x:v>
      </x:c>
      <x:c r="O182" s="26" t="n">
        <x:f>N182*(1-M182)</x:f>
        <x:v>16097.4</x:v>
      </x:c>
      <x:c r="P182" s="26" t="n">
        <x:v>7383</x:v>
      </x:c>
      <x:c r="Q182" s="26" t="n">
        <x:f>K182*P182</x:f>
        <x:v>14766</x:v>
      </x:c>
      <x:c r="R182" s="26" t="n">
        <x:f>O182-Q182</x:f>
        <x:v>1331.3999999999996</x:v>
      </x:c>
      <x:c r="S182" s="28" t="n">
        <x:f>IF(O182=0,0,R182/O182)</x:f>
        <x:v>0.08270900890827088</x:v>
      </x:c>
      <x:c r="T182" s="25" t="str">
        <x:v>Cash</x:v>
      </x:c>
      <x:c r="U182" s="25" t="str">
        <x:v>Returned</x:v>
      </x:c>
      <x:c r="V182" s="29" t="n">
        <x:v>3</x:v>
      </x:c>
    </x:row>
    <x:row r="183">
      <x:c r="A183" s="23" t="str">
        <x:v>MAN-2025-00182</x:v>
      </x:c>
      <x:c r="B183" s="24" t="n">
        <x:v>45714</x:v>
      </x:c>
      <x:c r="C183" s="25" t="str">
        <x:v>Mansoura</x:v>
      </x:c>
      <x:c r="D183" s="25" t="str">
        <x:v>Talkha</x:v>
      </x:c>
      <x:c r="E183" s="25" t="str">
        <x:v>Ali Sayed</x:v>
      </x:c>
      <x:c r="F183" s="25" t="str">
        <x:v>Mostafa Hassan</x:v>
      </x:c>
      <x:c r="G183" s="25" t="str">
        <x:v>Consumer</x:v>
      </x:c>
      <x:c r="H183" s="25" t="str">
        <x:v>Retail Store</x:v>
      </x:c>
      <x:c r="I183" s="25" t="str">
        <x:v>Electronics</x:v>
      </x:c>
      <x:c r="J183" s="25" t="str">
        <x:v>Smartphone</x:v>
      </x:c>
      <x:c r="K183" s="25" t="n">
        <x:v>1</x:v>
      </x:c>
      <x:c r="L183" s="26" t="n">
        <x:v>12740</x:v>
      </x:c>
      <x:c r="M183" s="27" t="n">
        <x:v>0</x:v>
      </x:c>
      <x:c r="N183" s="26" t="n">
        <x:f>K183*L183</x:f>
        <x:v>12740</x:v>
      </x:c>
      <x:c r="O183" s="26" t="n">
        <x:f>N183*(1-M183)</x:f>
        <x:v>12740</x:v>
      </x:c>
      <x:c r="P183" s="26" t="n">
        <x:v>11069</x:v>
      </x:c>
      <x:c r="Q183" s="26" t="n">
        <x:f>K183*P183</x:f>
        <x:v>11069</x:v>
      </x:c>
      <x:c r="R183" s="26" t="n">
        <x:f>O183-Q183</x:f>
        <x:v>1671</x:v>
      </x:c>
      <x:c r="S183" s="28" t="n">
        <x:f>IF(O183=0,0,R183/O183)</x:f>
        <x:v>0.13116169544740974</x:v>
      </x:c>
      <x:c r="T183" s="25" t="str">
        <x:v>Bank Transfer</x:v>
      </x:c>
      <x:c r="U183" s="25" t="str">
        <x:v>Completed</x:v>
      </x:c>
      <x:c r="V183" s="29" t="n">
        <x:v>4</x:v>
      </x:c>
    </x:row>
    <x:row r="184">
      <x:c r="A184" s="23" t="str">
        <x:v>MAN-2025-00183</x:v>
      </x:c>
      <x:c r="B184" s="24" t="n">
        <x:v>45879</x:v>
      </x:c>
      <x:c r="C184" s="25" t="str">
        <x:v>Mansoura</x:v>
      </x:c>
      <x:c r="D184" s="25" t="str">
        <x:v>Mit Ghamr</x:v>
      </x:c>
      <x:c r="E184" s="25" t="str">
        <x:v>Ali Sayed</x:v>
      </x:c>
      <x:c r="F184" s="25" t="str">
        <x:v>Mohamed Khalil</x:v>
      </x:c>
      <x:c r="G184" s="25" t="str">
        <x:v>Consumer</x:v>
      </x:c>
      <x:c r="H184" s="25" t="str">
        <x:v>Phone Order</x:v>
      </x:c>
      <x:c r="I184" s="25" t="str">
        <x:v>Furniture</x:v>
      </x:c>
      <x:c r="J184" s="25" t="str">
        <x:v>Bookshelf</x:v>
      </x:c>
      <x:c r="K184" s="25" t="n">
        <x:v>1</x:v>
      </x:c>
      <x:c r="L184" s="26" t="n">
        <x:v>2856</x:v>
      </x:c>
      <x:c r="M184" s="27" t="n">
        <x:v>0</x:v>
      </x:c>
      <x:c r="N184" s="26" t="n">
        <x:f>K184*L184</x:f>
        <x:v>2856</x:v>
      </x:c>
      <x:c r="O184" s="26" t="n">
        <x:f>N184*(1-M184)</x:f>
        <x:v>2856</x:v>
      </x:c>
      <x:c r="P184" s="26" t="n">
        <x:v>2179</x:v>
      </x:c>
      <x:c r="Q184" s="26" t="n">
        <x:f>K184*P184</x:f>
        <x:v>2179</x:v>
      </x:c>
      <x:c r="R184" s="26" t="n">
        <x:f>O184-Q184</x:f>
        <x:v>677</x:v>
      </x:c>
      <x:c r="S184" s="28" t="n">
        <x:f>IF(O184=0,0,R184/O184)</x:f>
        <x:v>0.23704481792717086</x:v>
      </x:c>
      <x:c r="T184" s="25" t="str">
        <x:v>Bank Transfer</x:v>
      </x:c>
      <x:c r="U184" s="25" t="str">
        <x:v>Completed</x:v>
      </x:c>
      <x:c r="V184" s="29" t="n">
        <x:v>3</x:v>
      </x:c>
    </x:row>
    <x:row r="185">
      <x:c r="A185" s="23" t="str">
        <x:v>MAN-2025-00184</x:v>
      </x:c>
      <x:c r="B185" s="24" t="n">
        <x:v>45660</x:v>
      </x:c>
      <x:c r="C185" s="25" t="str">
        <x:v>Mansoura</x:v>
      </x:c>
      <x:c r="D185" s="25" t="str">
        <x:v>Mansoura City</x:v>
      </x:c>
      <x:c r="E185" s="25" t="str">
        <x:v>Ali Sayed</x:v>
      </x:c>
      <x:c r="F185" s="25" t="str">
        <x:v>Youssef Khalil</x:v>
      </x:c>
      <x:c r="G185" s="25" t="str">
        <x:v>Small Business</x:v>
      </x:c>
      <x:c r="H185" s="25" t="str">
        <x:v>Phone Order</x:v>
      </x:c>
      <x:c r="I185" s="25" t="str">
        <x:v>Furniture</x:v>
      </x:c>
      <x:c r="J185" s="25" t="str">
        <x:v>Office Chair</x:v>
      </x:c>
      <x:c r="K185" s="25" t="n">
        <x:v>5</x:v>
      </x:c>
      <x:c r="L185" s="26" t="n">
        <x:v>3966</x:v>
      </x:c>
      <x:c r="M185" s="27" t="n">
        <x:v>0.05</x:v>
      </x:c>
      <x:c r="N185" s="26" t="n">
        <x:f>K185*L185</x:f>
        <x:v>19830</x:v>
      </x:c>
      <x:c r="O185" s="26" t="n">
        <x:f>N185*(1-M185)</x:f>
        <x:v>18838.5</x:v>
      </x:c>
      <x:c r="P185" s="26" t="n">
        <x:v>2960</x:v>
      </x:c>
      <x:c r="Q185" s="26" t="n">
        <x:f>K185*P185</x:f>
        <x:v>14800</x:v>
      </x:c>
      <x:c r="R185" s="26" t="n">
        <x:f>O185-Q185</x:f>
        <x:v>4038.5</x:v>
      </x:c>
      <x:c r="S185" s="28" t="n">
        <x:f>IF(O185=0,0,R185/O185)</x:f>
        <x:v>0.2143748175279348</x:v>
      </x:c>
      <x:c r="T185" s="25" t="str">
        <x:v>Bank Transfer</x:v>
      </x:c>
      <x:c r="U185" s="25" t="str">
        <x:v>Completed</x:v>
      </x:c>
      <x:c r="V185" s="29" t="n">
        <x:v>4</x:v>
      </x:c>
    </x:row>
    <x:row r="186">
      <x:c r="A186" s="23" t="str">
        <x:v>MAN-2025-00185</x:v>
      </x:c>
      <x:c r="B186" s="24" t="n">
        <x:v>45936</x:v>
      </x:c>
      <x:c r="C186" s="25" t="str">
        <x:v>Mansoura</x:v>
      </x:c>
      <x:c r="D186" s="25" t="str">
        <x:v>Talkha</x:v>
      </x:c>
      <x:c r="E186" s="25" t="str">
        <x:v>Salma Mansour</x:v>
      </x:c>
      <x:c r="F186" s="25" t="str">
        <x:v>Mostafa Nasser</x:v>
      </x:c>
      <x:c r="G186" s="25" t="str">
        <x:v>Consumer</x:v>
      </x:c>
      <x:c r="H186" s="25" t="str">
        <x:v>Retail Store</x:v>
      </x:c>
      <x:c r="I186" s="25" t="str">
        <x:v>Office Supplies</x:v>
      </x:c>
      <x:c r="J186" s="25" t="str">
        <x:v>Printer</x:v>
      </x:c>
      <x:c r="K186" s="25" t="n">
        <x:v>2</x:v>
      </x:c>
      <x:c r="L186" s="26" t="n">
        <x:v>6663</x:v>
      </x:c>
      <x:c r="M186" s="27" t="n">
        <x:v>0</x:v>
      </x:c>
      <x:c r="N186" s="26" t="n">
        <x:f>K186*L186</x:f>
        <x:v>13326</x:v>
      </x:c>
      <x:c r="O186" s="26" t="n">
        <x:f>N186*(1-M186)</x:f>
        <x:v>13326</x:v>
      </x:c>
      <x:c r="P186" s="26" t="n">
        <x:v>5496</x:v>
      </x:c>
      <x:c r="Q186" s="26" t="n">
        <x:f>K186*P186</x:f>
        <x:v>10992</x:v>
      </x:c>
      <x:c r="R186" s="26" t="n">
        <x:f>O186-Q186</x:f>
        <x:v>2334</x:v>
      </x:c>
      <x:c r="S186" s="28" t="n">
        <x:f>IF(O186=0,0,R186/O186)</x:f>
        <x:v>0.17514633048176498</x:v>
      </x:c>
      <x:c r="T186" s="25" t="str">
        <x:v>Cash</x:v>
      </x:c>
      <x:c r="U186" s="25" t="str">
        <x:v>Completed</x:v>
      </x:c>
      <x:c r="V186" s="29" t="n">
        <x:v>5</x:v>
      </x:c>
    </x:row>
    <x:row r="187">
      <x:c r="A187" s="23" t="str">
        <x:v>MAN-2025-00186</x:v>
      </x:c>
      <x:c r="B187" s="24" t="n">
        <x:v>45783</x:v>
      </x:c>
      <x:c r="C187" s="25" t="str">
        <x:v>Mansoura</x:v>
      </x:c>
      <x:c r="D187" s="25" t="str">
        <x:v>Mansoura City</x:v>
      </x:c>
      <x:c r="E187" s="25" t="str">
        <x:v>Salma Mansour</x:v>
      </x:c>
      <x:c r="F187" s="25" t="str">
        <x:v>Youssef Nasser</x:v>
      </x:c>
      <x:c r="G187" s="25" t="str">
        <x:v>Consumer</x:v>
      </x:c>
      <x:c r="H187" s="25" t="str">
        <x:v>Mobile App</x:v>
      </x:c>
      <x:c r="I187" s="25" t="str">
        <x:v>Electronics</x:v>
      </x:c>
      <x:c r="J187" s="25" t="str">
        <x:v>Headphones</x:v>
      </x:c>
      <x:c r="K187" s="25" t="n">
        <x:v>5</x:v>
      </x:c>
      <x:c r="L187" s="26" t="n">
        <x:v>1707</x:v>
      </x:c>
      <x:c r="M187" s="27" t="n">
        <x:v>0.1</x:v>
      </x:c>
      <x:c r="N187" s="26" t="n">
        <x:f>K187*L187</x:f>
        <x:v>8535</x:v>
      </x:c>
      <x:c r="O187" s="26" t="n">
        <x:f>N187*(1-M187)</x:f>
        <x:v>7681.5</x:v>
      </x:c>
      <x:c r="P187" s="26" t="n">
        <x:v>1123</x:v>
      </x:c>
      <x:c r="Q187" s="26" t="n">
        <x:f>K187*P187</x:f>
        <x:v>5615</x:v>
      </x:c>
      <x:c r="R187" s="26" t="n">
        <x:f>O187-Q187</x:f>
        <x:v>2066.5</x:v>
      </x:c>
      <x:c r="S187" s="28" t="n">
        <x:f>IF(O187=0,0,R187/O187)</x:f>
        <x:v>0.2690229772830827</x:v>
      </x:c>
      <x:c r="T187" s="25" t="str">
        <x:v>Credit Card</x:v>
      </x:c>
      <x:c r="U187" s="25" t="str">
        <x:v>Cancelled</x:v>
      </x:c>
      <x:c r="V187" s="29" t="n">
        <x:v>4</x:v>
      </x:c>
    </x:row>
    <x:row r="188">
      <x:c r="A188" s="23" t="str">
        <x:v>MAN-2025-00187</x:v>
      </x:c>
      <x:c r="B188" s="24" t="n">
        <x:v>45662</x:v>
      </x:c>
      <x:c r="C188" s="25" t="str">
        <x:v>Mansoura</x:v>
      </x:c>
      <x:c r="D188" s="25" t="str">
        <x:v>Talkha</x:v>
      </x:c>
      <x:c r="E188" s="25" t="str">
        <x:v>Aya Farouk</x:v>
      </x:c>
      <x:c r="F188" s="25" t="str">
        <x:v>Mariam Nasser</x:v>
      </x:c>
      <x:c r="G188" s="25" t="str">
        <x:v>Small Business</x:v>
      </x:c>
      <x:c r="H188" s="25" t="str">
        <x:v>Phone Order</x:v>
      </x:c>
      <x:c r="I188" s="25" t="str">
        <x:v>Furniture</x:v>
      </x:c>
      <x:c r="J188" s="25" t="str">
        <x:v>Desk</x:v>
      </x:c>
      <x:c r="K188" s="25" t="n">
        <x:v>6</x:v>
      </x:c>
      <x:c r="L188" s="26" t="n">
        <x:v>5334</x:v>
      </x:c>
      <x:c r="M188" s="27" t="n">
        <x:v>0.1</x:v>
      </x:c>
      <x:c r="N188" s="26" t="n">
        <x:f>K188*L188</x:f>
        <x:v>32004</x:v>
      </x:c>
      <x:c r="O188" s="26" t="n">
        <x:f>N188*(1-M188)</x:f>
        <x:v>28803.600000000002</x:v>
      </x:c>
      <x:c r="P188" s="26" t="n">
        <x:v>4019</x:v>
      </x:c>
      <x:c r="Q188" s="26" t="n">
        <x:f>K188*P188</x:f>
        <x:v>24114</x:v>
      </x:c>
      <x:c r="R188" s="26" t="n">
        <x:f>O188-Q188</x:f>
        <x:v>4689.600000000002</x:v>
      </x:c>
      <x:c r="S188" s="28" t="n">
        <x:f>IF(O188=0,0,R188/O188)</x:f>
        <x:v>0.16281298171061956</x:v>
      </x:c>
      <x:c r="T188" s="25" t="str">
        <x:v>Cash</x:v>
      </x:c>
      <x:c r="U188" s="25" t="str">
        <x:v>Returned</x:v>
      </x:c>
      <x:c r="V188" s="29" t="n">
        <x:v>5</x:v>
      </x:c>
    </x:row>
    <x:row r="189">
      <x:c r="A189" s="23" t="str">
        <x:v>MAN-2025-00188</x:v>
      </x:c>
      <x:c r="B189" s="24" t="n">
        <x:v>45979</x:v>
      </x:c>
      <x:c r="C189" s="25" t="str">
        <x:v>Mansoura</x:v>
      </x:c>
      <x:c r="D189" s="25" t="str">
        <x:v>Aga</x:v>
      </x:c>
      <x:c r="E189" s="25" t="str">
        <x:v>Salma Mansour</x:v>
      </x:c>
      <x:c r="F189" s="25" t="str">
        <x:v>Mariam Hassan</x:v>
      </x:c>
      <x:c r="G189" s="25" t="str">
        <x:v>Corporate</x:v>
      </x:c>
      <x:c r="H189" s="25" t="str">
        <x:v>Retail Store</x:v>
      </x:c>
      <x:c r="I189" s="25" t="str">
        <x:v>Home Appliances</x:v>
      </x:c>
      <x:c r="J189" s="25" t="str">
        <x:v>Blender</x:v>
      </x:c>
      <x:c r="K189" s="25" t="n">
        <x:v>1</x:v>
      </x:c>
      <x:c r="L189" s="26" t="n">
        <x:v>1729</x:v>
      </x:c>
      <x:c r="M189" s="27" t="n">
        <x:v>0</x:v>
      </x:c>
      <x:c r="N189" s="26" t="n">
        <x:f>K189*L189</x:f>
        <x:v>1729</x:v>
      </x:c>
      <x:c r="O189" s="26" t="n">
        <x:f>N189*(1-M189)</x:f>
        <x:v>1729</x:v>
      </x:c>
      <x:c r="P189" s="26" t="n">
        <x:v>1252</x:v>
      </x:c>
      <x:c r="Q189" s="26" t="n">
        <x:f>K189*P189</x:f>
        <x:v>1252</x:v>
      </x:c>
      <x:c r="R189" s="26" t="n">
        <x:f>O189-Q189</x:f>
        <x:v>477</x:v>
      </x:c>
      <x:c r="S189" s="28" t="n">
        <x:f>IF(O189=0,0,R189/O189)</x:f>
        <x:v>0.275882012724118</x:v>
      </x:c>
      <x:c r="T189" s="25" t="str">
        <x:v>Bank Transfer</x:v>
      </x:c>
      <x:c r="U189" s="25" t="str">
        <x:v>Returned</x:v>
      </x:c>
      <x:c r="V189" s="29" t="n">
        <x:v>4</x:v>
      </x:c>
    </x:row>
    <x:row r="190">
      <x:c r="A190" s="23" t="str">
        <x:v>MAN-2025-00189</x:v>
      </x:c>
      <x:c r="B190" s="24" t="n">
        <x:v>46008</x:v>
      </x:c>
      <x:c r="C190" s="25" t="str">
        <x:v>Mansoura</x:v>
      </x:c>
      <x:c r="D190" s="25" t="str">
        <x:v>Mansoura City</x:v>
      </x:c>
      <x:c r="E190" s="25" t="str">
        <x:v>Ali Sayed</x:v>
      </x:c>
      <x:c r="F190" s="25" t="str">
        <x:v>Farah Fathy</x:v>
      </x:c>
      <x:c r="G190" s="25" t="str">
        <x:v>Small Business</x:v>
      </x:c>
      <x:c r="H190" s="25" t="str">
        <x:v>Website</x:v>
      </x:c>
      <x:c r="I190" s="25" t="str">
        <x:v>Furniture</x:v>
      </x:c>
      <x:c r="J190" s="25" t="str">
        <x:v>Sofa</x:v>
      </x:c>
      <x:c r="K190" s="25" t="n">
        <x:v>4</x:v>
      </x:c>
      <x:c r="L190" s="26" t="n">
        <x:v>13312</x:v>
      </x:c>
      <x:c r="M190" s="27" t="n">
        <x:v>0.1</x:v>
      </x:c>
      <x:c r="N190" s="26" t="n">
        <x:f>K190*L190</x:f>
        <x:v>53248</x:v>
      </x:c>
      <x:c r="O190" s="26" t="n">
        <x:f>N190*(1-M190)</x:f>
        <x:v>47923.200000000004</x:v>
      </x:c>
      <x:c r="P190" s="26" t="n">
        <x:v>10920</x:v>
      </x:c>
      <x:c r="Q190" s="26" t="n">
        <x:f>K190*P190</x:f>
        <x:v>43680</x:v>
      </x:c>
      <x:c r="R190" s="26" t="n">
        <x:f>O190-Q190</x:f>
        <x:v>4243.200000000004</x:v>
      </x:c>
      <x:c r="S190" s="28" t="n">
        <x:f>IF(O190=0,0,R190/O190)</x:f>
        <x:v>0.08854166666666675</x:v>
      </x:c>
      <x:c r="T190" s="25" t="str">
        <x:v>Debit Card</x:v>
      </x:c>
      <x:c r="U190" s="25" t="str">
        <x:v>Completed</x:v>
      </x:c>
      <x:c r="V190" s="29" t="n">
        <x:v>5</x:v>
      </x:c>
    </x:row>
    <x:row r="191">
      <x:c r="A191" s="23" t="str">
        <x:v>MAN-2025-00190</x:v>
      </x:c>
      <x:c r="B191" s="24" t="n">
        <x:v>45698</x:v>
      </x:c>
      <x:c r="C191" s="25" t="str">
        <x:v>Mansoura</x:v>
      </x:c>
      <x:c r="D191" s="25" t="str">
        <x:v>Aga</x:v>
      </x:c>
      <x:c r="E191" s="25" t="str">
        <x:v>Salma Mansour</x:v>
      </x:c>
      <x:c r="F191" s="25" t="str">
        <x:v>Salma Sayed</x:v>
      </x:c>
      <x:c r="G191" s="25" t="str">
        <x:v>Corporate</x:v>
      </x:c>
      <x:c r="H191" s="25" t="str">
        <x:v>Phone Order</x:v>
      </x:c>
      <x:c r="I191" s="25" t="str">
        <x:v>Home Appliances</x:v>
      </x:c>
      <x:c r="J191" s="25" t="str">
        <x:v>Microwave</x:v>
      </x:c>
      <x:c r="K191" s="25" t="n">
        <x:v>4</x:v>
      </x:c>
      <x:c r="L191" s="26" t="n">
        <x:v>5452</x:v>
      </x:c>
      <x:c r="M191" s="27" t="n">
        <x:v>0</x:v>
      </x:c>
      <x:c r="N191" s="26" t="n">
        <x:f>K191*L191</x:f>
        <x:v>21808</x:v>
      </x:c>
      <x:c r="O191" s="26" t="n">
        <x:f>N191*(1-M191)</x:f>
        <x:v>21808</x:v>
      </x:c>
      <x:c r="P191" s="26" t="n">
        <x:v>4405</x:v>
      </x:c>
      <x:c r="Q191" s="26" t="n">
        <x:f>K191*P191</x:f>
        <x:v>17620</x:v>
      </x:c>
      <x:c r="R191" s="26" t="n">
        <x:f>O191-Q191</x:f>
        <x:v>4188</x:v>
      </x:c>
      <x:c r="S191" s="28" t="n">
        <x:f>IF(O191=0,0,R191/O191)</x:f>
        <x:v>0.19203961848862802</x:v>
      </x:c>
      <x:c r="T191" s="25" t="str">
        <x:v>Bank Transfer</x:v>
      </x:c>
      <x:c r="U191" s="25" t="str">
        <x:v>Completed</x:v>
      </x:c>
      <x:c r="V191" s="29" t="n">
        <x:v>5</x:v>
      </x:c>
    </x:row>
    <x:row r="192">
      <x:c r="A192" s="23" t="str">
        <x:v>MAN-2025-00191</x:v>
      </x:c>
      <x:c r="B192" s="24" t="n">
        <x:v>45694</x:v>
      </x:c>
      <x:c r="C192" s="25" t="str">
        <x:v>Mansoura</x:v>
      </x:c>
      <x:c r="D192" s="25" t="str">
        <x:v>Mansoura City</x:v>
      </x:c>
      <x:c r="E192" s="25" t="str">
        <x:v>Aya Farouk</x:v>
      </x:c>
      <x:c r="F192" s="25" t="str">
        <x:v>Ali Gamal</x:v>
      </x:c>
      <x:c r="G192" s="25" t="str">
        <x:v>Consumer</x:v>
      </x:c>
      <x:c r="H192" s="25" t="str">
        <x:v>Retail Store</x:v>
      </x:c>
      <x:c r="I192" s="25" t="str">
        <x:v>Electronics</x:v>
      </x:c>
      <x:c r="J192" s="25" t="str">
        <x:v>Smartphone</x:v>
      </x:c>
      <x:c r="K192" s="25" t="n">
        <x:v>5</x:v>
      </x:c>
      <x:c r="L192" s="26" t="n">
        <x:v>12597</x:v>
      </x:c>
      <x:c r="M192" s="27" t="n">
        <x:v>0.1</x:v>
      </x:c>
      <x:c r="N192" s="26" t="n">
        <x:f>K192*L192</x:f>
        <x:v>62985</x:v>
      </x:c>
      <x:c r="O192" s="26" t="n">
        <x:f>N192*(1-M192)</x:f>
        <x:v>56686.5</x:v>
      </x:c>
      <x:c r="P192" s="26" t="n">
        <x:v>10898</x:v>
      </x:c>
      <x:c r="Q192" s="26" t="n">
        <x:f>K192*P192</x:f>
        <x:v>54490</x:v>
      </x:c>
      <x:c r="R192" s="26" t="n">
        <x:f>O192-Q192</x:f>
        <x:v>2196.5</x:v>
      </x:c>
      <x:c r="S192" s="28" t="n">
        <x:f>IF(O192=0,0,R192/O192)</x:f>
        <x:v>0.03874820283489014</x:v>
      </x:c>
      <x:c r="T192" s="25" t="str">
        <x:v>Bank Transfer</x:v>
      </x:c>
      <x:c r="U192" s="25" t="str">
        <x:v>Completed</x:v>
      </x:c>
      <x:c r="V192" s="29" t="n">
        <x:v>4</x:v>
      </x:c>
    </x:row>
    <x:row r="193">
      <x:c r="A193" s="23" t="str">
        <x:v>MAN-2025-00192</x:v>
      </x:c>
      <x:c r="B193" s="24" t="n">
        <x:v>46000</x:v>
      </x:c>
      <x:c r="C193" s="25" t="str">
        <x:v>Mansoura</x:v>
      </x:c>
      <x:c r="D193" s="25" t="str">
        <x:v>Mit Ghamr</x:v>
      </x:c>
      <x:c r="E193" s="25" t="str">
        <x:v>Ali Sayed</x:v>
      </x:c>
      <x:c r="F193" s="25" t="str">
        <x:v>Mostafa Khalil</x:v>
      </x:c>
      <x:c r="G193" s="25" t="str">
        <x:v>Corporate</x:v>
      </x:c>
      <x:c r="H193" s="25" t="str">
        <x:v>Mobile App</x:v>
      </x:c>
      <x:c r="I193" s="25" t="str">
        <x:v>Office Supplies</x:v>
      </x:c>
      <x:c r="J193" s="25" t="str">
        <x:v>Paper Box</x:v>
      </x:c>
      <x:c r="K193" s="25" t="n">
        <x:v>1</x:v>
      </x:c>
      <x:c r="L193" s="26" t="n">
        <x:v>387</x:v>
      </x:c>
      <x:c r="M193" s="27" t="n">
        <x:v>0.1</x:v>
      </x:c>
      <x:c r="N193" s="26" t="n">
        <x:f>K193*L193</x:f>
        <x:v>387</x:v>
      </x:c>
      <x:c r="O193" s="26" t="n">
        <x:f>N193*(1-M193)</x:f>
        <x:v>348.3</x:v>
      </x:c>
      <x:c r="P193" s="26" t="n">
        <x:v>257</x:v>
      </x:c>
      <x:c r="Q193" s="26" t="n">
        <x:f>K193*P193</x:f>
        <x:v>257</x:v>
      </x:c>
      <x:c r="R193" s="26" t="n">
        <x:f>O193-Q193</x:f>
        <x:v>91.30000000000001</x:v>
      </x:c>
      <x:c r="S193" s="28" t="n">
        <x:f>IF(O193=0,0,R193/O193)</x:f>
        <x:v>0.26213034740166524</x:v>
      </x:c>
      <x:c r="T193" s="25" t="str">
        <x:v>Credit Card</x:v>
      </x:c>
      <x:c r="U193" s="25" t="str">
        <x:v>Cancelled</x:v>
      </x:c>
      <x:c r="V193" s="29" t="n">
        <x:v>5</x:v>
      </x:c>
    </x:row>
    <x:row r="194">
      <x:c r="A194" s="23" t="str">
        <x:v>MAN-2025-00193</x:v>
      </x:c>
      <x:c r="B194" s="24" t="n">
        <x:v>45856</x:v>
      </x:c>
      <x:c r="C194" s="25" t="str">
        <x:v>Mansoura</x:v>
      </x:c>
      <x:c r="D194" s="25" t="str">
        <x:v>Aga</x:v>
      </x:c>
      <x:c r="E194" s="25" t="str">
        <x:v>Aya Farouk</x:v>
      </x:c>
      <x:c r="F194" s="25" t="str">
        <x:v>Aya Ibrahim</x:v>
      </x:c>
      <x:c r="G194" s="25" t="str">
        <x:v>Corporate</x:v>
      </x:c>
      <x:c r="H194" s="25" t="str">
        <x:v>Retail Store</x:v>
      </x:c>
      <x:c r="I194" s="25" t="str">
        <x:v>Furniture</x:v>
      </x:c>
      <x:c r="J194" s="25" t="str">
        <x:v>Office Chair</x:v>
      </x:c>
      <x:c r="K194" s="25" t="n">
        <x:v>5</x:v>
      </x:c>
      <x:c r="L194" s="26" t="n">
        <x:v>3834</x:v>
      </x:c>
      <x:c r="M194" s="27" t="n">
        <x:v>0</x:v>
      </x:c>
      <x:c r="N194" s="26" t="n">
        <x:f>K194*L194</x:f>
        <x:v>19170</x:v>
      </x:c>
      <x:c r="O194" s="26" t="n">
        <x:f>N194*(1-M194)</x:f>
        <x:v>19170</x:v>
      </x:c>
      <x:c r="P194" s="26" t="n">
        <x:v>2901</x:v>
      </x:c>
      <x:c r="Q194" s="26" t="n">
        <x:f>K194*P194</x:f>
        <x:v>14505</x:v>
      </x:c>
      <x:c r="R194" s="26" t="n">
        <x:f>O194-Q194</x:f>
        <x:v>4665</x:v>
      </x:c>
      <x:c r="S194" s="28" t="n">
        <x:f>IF(O194=0,0,R194/O194)</x:f>
        <x:v>0.2433489827856025</x:v>
      </x:c>
      <x:c r="T194" s="25" t="str">
        <x:v>Credit Card</x:v>
      </x:c>
      <x:c r="U194" s="25" t="str">
        <x:v>Cancelled</x:v>
      </x:c>
      <x:c r="V194" s="29" t="n">
        <x:v>5</x:v>
      </x:c>
    </x:row>
    <x:row r="195">
      <x:c r="A195" s="23" t="str">
        <x:v>MAN-2025-00194</x:v>
      </x:c>
      <x:c r="B195" s="24" t="n">
        <x:v>45998</x:v>
      </x:c>
      <x:c r="C195" s="25" t="str">
        <x:v>Mansoura</x:v>
      </x:c>
      <x:c r="D195" s="25" t="str">
        <x:v>Aga</x:v>
      </x:c>
      <x:c r="E195" s="25" t="str">
        <x:v>Youssef Fathy</x:v>
      </x:c>
      <x:c r="F195" s="25" t="str">
        <x:v>Youssef Khalil</x:v>
      </x:c>
      <x:c r="G195" s="25" t="str">
        <x:v>Consumer</x:v>
      </x:c>
      <x:c r="H195" s="25" t="str">
        <x:v>Website</x:v>
      </x:c>
      <x:c r="I195" s="25" t="str">
        <x:v>Home Appliances</x:v>
      </x:c>
      <x:c r="J195" s="25" t="str">
        <x:v>Blender</x:v>
      </x:c>
      <x:c r="K195" s="25" t="n">
        <x:v>5</x:v>
      </x:c>
      <x:c r="L195" s="26" t="n">
        <x:v>1710</x:v>
      </x:c>
      <x:c r="M195" s="27" t="n">
        <x:v>0.1</x:v>
      </x:c>
      <x:c r="N195" s="26" t="n">
        <x:f>K195*L195</x:f>
        <x:v>8550</x:v>
      </x:c>
      <x:c r="O195" s="26" t="n">
        <x:f>N195*(1-M195)</x:f>
        <x:v>7695</x:v>
      </x:c>
      <x:c r="P195" s="26" t="n">
        <x:v>1295</x:v>
      </x:c>
      <x:c r="Q195" s="26" t="n">
        <x:f>K195*P195</x:f>
        <x:v>6475</x:v>
      </x:c>
      <x:c r="R195" s="26" t="n">
        <x:f>O195-Q195</x:f>
        <x:v>1220</x:v>
      </x:c>
      <x:c r="S195" s="28" t="n">
        <x:f>IF(O195=0,0,R195/O195)</x:f>
        <x:v>0.1585445094217024</x:v>
      </x:c>
      <x:c r="T195" s="25" t="str">
        <x:v>Bank Transfer</x:v>
      </x:c>
      <x:c r="U195" s="25" t="str">
        <x:v>Completed</x:v>
      </x:c>
      <x:c r="V195" s="29" t="n">
        <x:v>5</x:v>
      </x:c>
    </x:row>
    <x:row r="196">
      <x:c r="A196" s="23" t="str">
        <x:v>MAN-2025-00195</x:v>
      </x:c>
      <x:c r="B196" s="24" t="n">
        <x:v>45979</x:v>
      </x:c>
      <x:c r="C196" s="25" t="str">
        <x:v>Mansoura</x:v>
      </x:c>
      <x:c r="D196" s="25" t="str">
        <x:v>Mansoura City</x:v>
      </x:c>
      <x:c r="E196" s="25" t="str">
        <x:v>Ali Sayed</x:v>
      </x:c>
      <x:c r="F196" s="25" t="str">
        <x:v>Hana Adel</x:v>
      </x:c>
      <x:c r="G196" s="25" t="str">
        <x:v>Small Business</x:v>
      </x:c>
      <x:c r="H196" s="25" t="str">
        <x:v>Website</x:v>
      </x:c>
      <x:c r="I196" s="25" t="str">
        <x:v>Furniture</x:v>
      </x:c>
      <x:c r="J196" s="25" t="str">
        <x:v>Office Chair</x:v>
      </x:c>
      <x:c r="K196" s="25" t="n">
        <x:v>6</x:v>
      </x:c>
      <x:c r="L196" s="26" t="n">
        <x:v>3910</x:v>
      </x:c>
      <x:c r="M196" s="27" t="n">
        <x:v>0.05</x:v>
      </x:c>
      <x:c r="N196" s="26" t="n">
        <x:f>K196*L196</x:f>
        <x:v>23460</x:v>
      </x:c>
      <x:c r="O196" s="26" t="n">
        <x:f>N196*(1-M196)</x:f>
        <x:v>22287</x:v>
      </x:c>
      <x:c r="P196" s="26" t="n">
        <x:v>2904</x:v>
      </x:c>
      <x:c r="Q196" s="26" t="n">
        <x:f>K196*P196</x:f>
        <x:v>17424</x:v>
      </x:c>
      <x:c r="R196" s="26" t="n">
        <x:f>O196-Q196</x:f>
        <x:v>4863</x:v>
      </x:c>
      <x:c r="S196" s="28" t="n">
        <x:f>IF(O196=0,0,R196/O196)</x:f>
        <x:v>0.21819895006057344</x:v>
      </x:c>
      <x:c r="T196" s="25" t="str">
        <x:v>Cash</x:v>
      </x:c>
      <x:c r="U196" s="25" t="str">
        <x:v>Completed</x:v>
      </x:c>
      <x:c r="V196" s="29" t="n">
        <x:v>4</x:v>
      </x:c>
    </x:row>
    <x:row r="197">
      <x:c r="A197" s="23" t="str">
        <x:v>MAN-2025-00196</x:v>
      </x:c>
      <x:c r="B197" s="24" t="n">
        <x:v>45825</x:v>
      </x:c>
      <x:c r="C197" s="25" t="str">
        <x:v>Mansoura</x:v>
      </x:c>
      <x:c r="D197" s="25" t="str">
        <x:v>Aga</x:v>
      </x:c>
      <x:c r="E197" s="25" t="str">
        <x:v>Ali Sayed</x:v>
      </x:c>
      <x:c r="F197" s="25" t="str">
        <x:v>Karim Khalil</x:v>
      </x:c>
      <x:c r="G197" s="25" t="str">
        <x:v>Consumer</x:v>
      </x:c>
      <x:c r="H197" s="25" t="str">
        <x:v>Retail Store</x:v>
      </x:c>
      <x:c r="I197" s="25" t="str">
        <x:v>Office Supplies</x:v>
      </x:c>
      <x:c r="J197" s="25" t="str">
        <x:v>Calculator</x:v>
      </x:c>
      <x:c r="K197" s="25" t="n">
        <x:v>1</x:v>
      </x:c>
      <x:c r="L197" s="26" t="n">
        <x:v>415</x:v>
      </x:c>
      <x:c r="M197" s="27" t="n">
        <x:v>0.05</x:v>
      </x:c>
      <x:c r="N197" s="26" t="n">
        <x:f>K197*L197</x:f>
        <x:v>415</x:v>
      </x:c>
      <x:c r="O197" s="26" t="n">
        <x:f>N197*(1-M197)</x:f>
        <x:v>394.25</x:v>
      </x:c>
      <x:c r="P197" s="26" t="n">
        <x:v>290</x:v>
      </x:c>
      <x:c r="Q197" s="26" t="n">
        <x:f>K197*P197</x:f>
        <x:v>290</x:v>
      </x:c>
      <x:c r="R197" s="26" t="n">
        <x:f>O197-Q197</x:f>
        <x:v>104.25</x:v>
      </x:c>
      <x:c r="S197" s="28" t="n">
        <x:f>IF(O197=0,0,R197/O197)</x:f>
        <x:v>0.264426125554851</x:v>
      </x:c>
      <x:c r="T197" s="25" t="str">
        <x:v>Cash</x:v>
      </x:c>
      <x:c r="U197" s="25" t="str">
        <x:v>Completed</x:v>
      </x:c>
      <x:c r="V197" s="29" t="n">
        <x:v>4</x:v>
      </x:c>
    </x:row>
    <x:row r="198">
      <x:c r="A198" s="23" t="str">
        <x:v>MAN-2025-00197</x:v>
      </x:c>
      <x:c r="B198" s="24" t="n">
        <x:v>45862</x:v>
      </x:c>
      <x:c r="C198" s="25" t="str">
        <x:v>Mansoura</x:v>
      </x:c>
      <x:c r="D198" s="25" t="str">
        <x:v>Talkha</x:v>
      </x:c>
      <x:c r="E198" s="25" t="str">
        <x:v>Salma Mansour</x:v>
      </x:c>
      <x:c r="F198" s="25" t="str">
        <x:v>Karim Fathy</x:v>
      </x:c>
      <x:c r="G198" s="25" t="str">
        <x:v>Consumer</x:v>
      </x:c>
      <x:c r="H198" s="25" t="str">
        <x:v>Retail Store</x:v>
      </x:c>
      <x:c r="I198" s="25" t="str">
        <x:v>Electronics</x:v>
      </x:c>
      <x:c r="J198" s="25" t="str">
        <x:v>Tablet</x:v>
      </x:c>
      <x:c r="K198" s="25" t="n">
        <x:v>1</x:v>
      </x:c>
      <x:c r="L198" s="26" t="n">
        <x:v>9375</x:v>
      </x:c>
      <x:c r="M198" s="27" t="n">
        <x:v>0</x:v>
      </x:c>
      <x:c r="N198" s="26" t="n">
        <x:f>K198*L198</x:f>
        <x:v>9375</x:v>
      </x:c>
      <x:c r="O198" s="26" t="n">
        <x:f>N198*(1-M198)</x:f>
        <x:v>9375</x:v>
      </x:c>
      <x:c r="P198" s="26" t="n">
        <x:v>7195</x:v>
      </x:c>
      <x:c r="Q198" s="26" t="n">
        <x:f>K198*P198</x:f>
        <x:v>7195</x:v>
      </x:c>
      <x:c r="R198" s="26" t="n">
        <x:f>O198-Q198</x:f>
        <x:v>2180</x:v>
      </x:c>
      <x:c r="S198" s="28" t="n">
        <x:f>IF(O198=0,0,R198/O198)</x:f>
        <x:v>0.23253333333333334</x:v>
      </x:c>
      <x:c r="T198" s="25" t="str">
        <x:v>Debit Card</x:v>
      </x:c>
      <x:c r="U198" s="25" t="str">
        <x:v>Returned</x:v>
      </x:c>
      <x:c r="V198" s="29" t="n">
        <x:v>5</x:v>
      </x:c>
    </x:row>
    <x:row r="199">
      <x:c r="A199" s="23" t="str">
        <x:v>MAN-2025-00198</x:v>
      </x:c>
      <x:c r="B199" s="24" t="n">
        <x:v>45909</x:v>
      </x:c>
      <x:c r="C199" s="25" t="str">
        <x:v>Mansoura</x:v>
      </x:c>
      <x:c r="D199" s="25" t="str">
        <x:v>Aga</x:v>
      </x:c>
      <x:c r="E199" s="25" t="str">
        <x:v>Ali Sayed</x:v>
      </x:c>
      <x:c r="F199" s="25" t="str">
        <x:v>Mostafa Sayed</x:v>
      </x:c>
      <x:c r="G199" s="25" t="str">
        <x:v>Consumer</x:v>
      </x:c>
      <x:c r="H199" s="25" t="str">
        <x:v>Phone Order</x:v>
      </x:c>
      <x:c r="I199" s="25" t="str">
        <x:v>Furniture</x:v>
      </x:c>
      <x:c r="J199" s="25" t="str">
        <x:v>Office Chair</x:v>
      </x:c>
      <x:c r="K199" s="25" t="n">
        <x:v>4</x:v>
      </x:c>
      <x:c r="L199" s="26" t="n">
        <x:v>3900</x:v>
      </x:c>
      <x:c r="M199" s="27" t="n">
        <x:v>0.05</x:v>
      </x:c>
      <x:c r="N199" s="26" t="n">
        <x:f>K199*L199</x:f>
        <x:v>15600</x:v>
      </x:c>
      <x:c r="O199" s="26" t="n">
        <x:f>N199*(1-M199)</x:f>
        <x:v>14820</x:v>
      </x:c>
      <x:c r="P199" s="26" t="n">
        <x:v>2872</x:v>
      </x:c>
      <x:c r="Q199" s="26" t="n">
        <x:f>K199*P199</x:f>
        <x:v>11488</x:v>
      </x:c>
      <x:c r="R199" s="26" t="n">
        <x:f>O199-Q199</x:f>
        <x:v>3332</x:v>
      </x:c>
      <x:c r="S199" s="28" t="n">
        <x:f>IF(O199=0,0,R199/O199)</x:f>
        <x:v>0.22483130904183535</x:v>
      </x:c>
      <x:c r="T199" s="25" t="str">
        <x:v>Cash</x:v>
      </x:c>
      <x:c r="U199" s="25" t="str">
        <x:v>Completed</x:v>
      </x:c>
      <x:c r="V199" s="29" t="n">
        <x:v>3</x:v>
      </x:c>
    </x:row>
    <x:row r="200">
      <x:c r="A200" s="23" t="str">
        <x:v>MAN-2025-00199</x:v>
      </x:c>
      <x:c r="B200" s="24" t="n">
        <x:v>45684</x:v>
      </x:c>
      <x:c r="C200" s="25" t="str">
        <x:v>Mansoura</x:v>
      </x:c>
      <x:c r="D200" s="25" t="str">
        <x:v>Mit Ghamr</x:v>
      </x:c>
      <x:c r="E200" s="25" t="str">
        <x:v>Salma Mansour</x:v>
      </x:c>
      <x:c r="F200" s="25" t="str">
        <x:v>Omar Samir</x:v>
      </x:c>
      <x:c r="G200" s="25" t="str">
        <x:v>Corporate</x:v>
      </x:c>
      <x:c r="H200" s="25" t="str">
        <x:v>Retail Store</x:v>
      </x:c>
      <x:c r="I200" s="25" t="str">
        <x:v>Electronics</x:v>
      </x:c>
      <x:c r="J200" s="25" t="str">
        <x:v>Headphones</x:v>
      </x:c>
      <x:c r="K200" s="25" t="n">
        <x:v>5</x:v>
      </x:c>
      <x:c r="L200" s="26" t="n">
        <x:v>1684</x:v>
      </x:c>
      <x:c r="M200" s="27" t="n">
        <x:v>0</x:v>
      </x:c>
      <x:c r="N200" s="26" t="n">
        <x:f>K200*L200</x:f>
        <x:v>8420</x:v>
      </x:c>
      <x:c r="O200" s="26" t="n">
        <x:f>N200*(1-M200)</x:f>
        <x:v>8420</x:v>
      </x:c>
      <x:c r="P200" s="26" t="n">
        <x:v>1079</x:v>
      </x:c>
      <x:c r="Q200" s="26" t="n">
        <x:f>K200*P200</x:f>
        <x:v>5395</x:v>
      </x:c>
      <x:c r="R200" s="26" t="n">
        <x:f>O200-Q200</x:f>
        <x:v>3025</x:v>
      </x:c>
      <x:c r="S200" s="28" t="n">
        <x:f>IF(O200=0,0,R200/O200)</x:f>
        <x:v>0.35926365795724463</x:v>
      </x:c>
      <x:c r="T200" s="25" t="str">
        <x:v>Digital Wallet</x:v>
      </x:c>
      <x:c r="U200" s="25" t="str">
        <x:v>Returned</x:v>
      </x:c>
      <x:c r="V200" s="29" t="n">
        <x:v>4</x:v>
      </x:c>
    </x:row>
    <x:row r="201">
      <x:c r="A201" s="23" t="str">
        <x:v>MAN-2025-00200</x:v>
      </x:c>
      <x:c r="B201" s="24" t="n">
        <x:v>45852</x:v>
      </x:c>
      <x:c r="C201" s="25" t="str">
        <x:v>Mansoura</x:v>
      </x:c>
      <x:c r="D201" s="25" t="str">
        <x:v>Aga</x:v>
      </x:c>
      <x:c r="E201" s="25" t="str">
        <x:v>Salma Mansour</x:v>
      </x:c>
      <x:c r="F201" s="25" t="str">
        <x:v>Ali Adel</x:v>
      </x:c>
      <x:c r="G201" s="25" t="str">
        <x:v>Consumer</x:v>
      </x:c>
      <x:c r="H201" s="25" t="str">
        <x:v>Website</x:v>
      </x:c>
      <x:c r="I201" s="25" t="str">
        <x:v>Furniture</x:v>
      </x:c>
      <x:c r="J201" s="25" t="str">
        <x:v>Office Chair</x:v>
      </x:c>
      <x:c r="K201" s="25" t="n">
        <x:v>6</x:v>
      </x:c>
      <x:c r="L201" s="26" t="n">
        <x:v>3896</x:v>
      </x:c>
      <x:c r="M201" s="27" t="n">
        <x:v>0.15</x:v>
      </x:c>
      <x:c r="N201" s="26" t="n">
        <x:f>K201*L201</x:f>
        <x:v>23376</x:v>
      </x:c>
      <x:c r="O201" s="26" t="n">
        <x:f>N201*(1-M201)</x:f>
        <x:v>19869.6</x:v>
      </x:c>
      <x:c r="P201" s="26" t="n">
        <x:v>2891</x:v>
      </x:c>
      <x:c r="Q201" s="26" t="n">
        <x:f>K201*P201</x:f>
        <x:v>17346</x:v>
      </x:c>
      <x:c r="R201" s="26" t="n">
        <x:f>O201-Q201</x:f>
        <x:v>2523.5999999999985</x:v>
      </x:c>
      <x:c r="S201" s="28" t="n">
        <x:f>IF(O201=0,0,R201/O201)</x:f>
        <x:v>0.1270080927648266</x:v>
      </x:c>
      <x:c r="T201" s="25" t="str">
        <x:v>Cash</x:v>
      </x:c>
      <x:c r="U201" s="25" t="str">
        <x:v>Cancelled</x:v>
      </x:c>
      <x:c r="V201" s="29" t="n">
        <x:v>5</x:v>
      </x:c>
    </x:row>
    <x:row r="202">
      <x:c r="A202" s="23" t="str">
        <x:v>MAN-2025-00201</x:v>
      </x:c>
      <x:c r="B202" s="24" t="n">
        <x:v>45965</x:v>
      </x:c>
      <x:c r="C202" s="25" t="str">
        <x:v>Mansoura</x:v>
      </x:c>
      <x:c r="D202" s="25" t="str">
        <x:v>Aga</x:v>
      </x:c>
      <x:c r="E202" s="25" t="str">
        <x:v>Youssef Fathy</x:v>
      </x:c>
      <x:c r="F202" s="25" t="str">
        <x:v>Omar Farouk</x:v>
      </x:c>
      <x:c r="G202" s="25" t="str">
        <x:v>Consumer</x:v>
      </x:c>
      <x:c r="H202" s="25" t="str">
        <x:v>Retail Store</x:v>
      </x:c>
      <x:c r="I202" s="25" t="str">
        <x:v>Furniture</x:v>
      </x:c>
      <x:c r="J202" s="25" t="str">
        <x:v>Bookshelf</x:v>
      </x:c>
      <x:c r="K202" s="25" t="n">
        <x:v>3</x:v>
      </x:c>
      <x:c r="L202" s="26" t="n">
        <x:v>3156</x:v>
      </x:c>
      <x:c r="M202" s="27" t="n">
        <x:v>0</x:v>
      </x:c>
      <x:c r="N202" s="26" t="n">
        <x:f>K202*L202</x:f>
        <x:v>9468</x:v>
      </x:c>
      <x:c r="O202" s="26" t="n">
        <x:f>N202*(1-M202)</x:f>
        <x:v>9468</x:v>
      </x:c>
      <x:c r="P202" s="26" t="n">
        <x:v>2191</x:v>
      </x:c>
      <x:c r="Q202" s="26" t="n">
        <x:f>K202*P202</x:f>
        <x:v>6573</x:v>
      </x:c>
      <x:c r="R202" s="26" t="n">
        <x:f>O202-Q202</x:f>
        <x:v>2895</x:v>
      </x:c>
      <x:c r="S202" s="28" t="n">
        <x:f>IF(O202=0,0,R202/O202)</x:f>
        <x:v>0.30576679340937896</x:v>
      </x:c>
      <x:c r="T202" s="25" t="str">
        <x:v>Credit Card</x:v>
      </x:c>
      <x:c r="U202" s="25" t="str">
        <x:v>Completed</x:v>
      </x:c>
      <x:c r="V202" s="29" t="n">
        <x:v>5</x:v>
      </x:c>
    </x:row>
    <x:row r="203">
      <x:c r="A203" s="23" t="str">
        <x:v>MAN-2025-00202</x:v>
      </x:c>
      <x:c r="B203" s="24" t="n">
        <x:v>45980</x:v>
      </x:c>
      <x:c r="C203" s="25" t="str">
        <x:v>Mansoura</x:v>
      </x:c>
      <x:c r="D203" s="25" t="str">
        <x:v>Sherbin</x:v>
      </x:c>
      <x:c r="E203" s="25" t="str">
        <x:v>Aya Farouk</x:v>
      </x:c>
      <x:c r="F203" s="25" t="str">
        <x:v>Mariam Mansour</x:v>
      </x:c>
      <x:c r="G203" s="25" t="str">
        <x:v>Consumer</x:v>
      </x:c>
      <x:c r="H203" s="25" t="str">
        <x:v>Phone Order</x:v>
      </x:c>
      <x:c r="I203" s="25" t="str">
        <x:v>Electronics</x:v>
      </x:c>
      <x:c r="J203" s="25" t="str">
        <x:v>Headphones</x:v>
      </x:c>
      <x:c r="K203" s="25" t="n">
        <x:v>2</x:v>
      </x:c>
      <x:c r="L203" s="26" t="n">
        <x:v>1793</x:v>
      </x:c>
      <x:c r="M203" s="27" t="n">
        <x:v>0</x:v>
      </x:c>
      <x:c r="N203" s="26" t="n">
        <x:f>K203*L203</x:f>
        <x:v>3586</x:v>
      </x:c>
      <x:c r="O203" s="26" t="n">
        <x:f>N203*(1-M203)</x:f>
        <x:v>3586</x:v>
      </x:c>
      <x:c r="P203" s="26" t="n">
        <x:v>1107</x:v>
      </x:c>
      <x:c r="Q203" s="26" t="n">
        <x:f>K203*P203</x:f>
        <x:v>2214</x:v>
      </x:c>
      <x:c r="R203" s="26" t="n">
        <x:f>O203-Q203</x:f>
        <x:v>1372</x:v>
      </x:c>
      <x:c r="S203" s="28" t="n">
        <x:f>IF(O203=0,0,R203/O203)</x:f>
        <x:v>0.3825989960959286</x:v>
      </x:c>
      <x:c r="T203" s="25" t="str">
        <x:v>Debit Card</x:v>
      </x:c>
      <x:c r="U203" s="25" t="str">
        <x:v>Cancelled</x:v>
      </x:c>
      <x:c r="V203" s="29" t="n">
        <x:v>4</x:v>
      </x:c>
    </x:row>
    <x:row r="204">
      <x:c r="A204" s="23" t="str">
        <x:v>MAN-2025-00203</x:v>
      </x:c>
      <x:c r="B204" s="24" t="n">
        <x:v>45742</x:v>
      </x:c>
      <x:c r="C204" s="25" t="str">
        <x:v>Mansoura</x:v>
      </x:c>
      <x:c r="D204" s="25" t="str">
        <x:v>Mansoura City</x:v>
      </x:c>
      <x:c r="E204" s="25" t="str">
        <x:v>Ali Sayed</x:v>
      </x:c>
      <x:c r="F204" s="25" t="str">
        <x:v>Aya Sayed</x:v>
      </x:c>
      <x:c r="G204" s="25" t="str">
        <x:v>Small Business</x:v>
      </x:c>
      <x:c r="H204" s="25" t="str">
        <x:v>Website</x:v>
      </x:c>
      <x:c r="I204" s="25" t="str">
        <x:v>Office Supplies</x:v>
      </x:c>
      <x:c r="J204" s="25" t="str">
        <x:v>Ink Cartridge</x:v>
      </x:c>
      <x:c r="K204" s="25" t="n">
        <x:v>6</x:v>
      </x:c>
      <x:c r="L204" s="26" t="n">
        <x:v>882</x:v>
      </x:c>
      <x:c r="M204" s="27" t="n">
        <x:v>0</x:v>
      </x:c>
      <x:c r="N204" s="26" t="n">
        <x:f>K204*L204</x:f>
        <x:v>5292</x:v>
      </x:c>
      <x:c r="O204" s="26" t="n">
        <x:f>N204*(1-M204)</x:f>
        <x:v>5292</x:v>
      </x:c>
      <x:c r="P204" s="26" t="n">
        <x:v>565</x:v>
      </x:c>
      <x:c r="Q204" s="26" t="n">
        <x:f>K204*P204</x:f>
        <x:v>3390</x:v>
      </x:c>
      <x:c r="R204" s="26" t="n">
        <x:f>O204-Q204</x:f>
        <x:v>1902</x:v>
      </x:c>
      <x:c r="S204" s="28" t="n">
        <x:f>IF(O204=0,0,R204/O204)</x:f>
        <x:v>0.35941043083900226</x:v>
      </x:c>
      <x:c r="T204" s="25" t="str">
        <x:v>Digital Wallet</x:v>
      </x:c>
      <x:c r="U204" s="25" t="str">
        <x:v>Completed</x:v>
      </x:c>
      <x:c r="V204" s="29" t="n">
        <x:v>4</x:v>
      </x:c>
    </x:row>
    <x:row r="205">
      <x:c r="A205" s="23" t="str">
        <x:v>MAN-2025-00204</x:v>
      </x:c>
      <x:c r="B205" s="24" t="n">
        <x:v>45659</x:v>
      </x:c>
      <x:c r="C205" s="25" t="str">
        <x:v>Mansoura</x:v>
      </x:c>
      <x:c r="D205" s="25" t="str">
        <x:v>Sherbin</x:v>
      </x:c>
      <x:c r="E205" s="25" t="str">
        <x:v>Aya Farouk</x:v>
      </x:c>
      <x:c r="F205" s="25" t="str">
        <x:v>Mariam Nasser</x:v>
      </x:c>
      <x:c r="G205" s="25" t="str">
        <x:v>Consumer</x:v>
      </x:c>
      <x:c r="H205" s="25" t="str">
        <x:v>Retail Store</x:v>
      </x:c>
      <x:c r="I205" s="25" t="str">
        <x:v>Office Supplies</x:v>
      </x:c>
      <x:c r="J205" s="25" t="str">
        <x:v>Ink Cartridge</x:v>
      </x:c>
      <x:c r="K205" s="25" t="n">
        <x:v>2</x:v>
      </x:c>
      <x:c r="L205" s="26" t="n">
        <x:v>799</x:v>
      </x:c>
      <x:c r="M205" s="27" t="n">
        <x:v>0.1</x:v>
      </x:c>
      <x:c r="N205" s="26" t="n">
        <x:f>K205*L205</x:f>
        <x:v>1598</x:v>
      </x:c>
      <x:c r="O205" s="26" t="n">
        <x:f>N205*(1-M205)</x:f>
        <x:v>1438.2</x:v>
      </x:c>
      <x:c r="P205" s="26" t="n">
        <x:v>580</x:v>
      </x:c>
      <x:c r="Q205" s="26" t="n">
        <x:f>K205*P205</x:f>
        <x:v>1160</x:v>
      </x:c>
      <x:c r="R205" s="26" t="n">
        <x:f>O205-Q205</x:f>
        <x:v>278.20000000000005</x:v>
      </x:c>
      <x:c r="S205" s="28" t="n">
        <x:f>IF(O205=0,0,R205/O205)</x:f>
        <x:v>0.19343623974412463</x:v>
      </x:c>
      <x:c r="T205" s="25" t="str">
        <x:v>Digital Wallet</x:v>
      </x:c>
      <x:c r="U205" s="25" t="str">
        <x:v>Completed</x:v>
      </x:c>
      <x:c r="V205" s="29" t="n">
        <x:v>5</x:v>
      </x:c>
    </x:row>
    <x:row r="206">
      <x:c r="A206" s="23" t="str">
        <x:v>MAN-2025-00205</x:v>
      </x:c>
      <x:c r="B206" s="24" t="n">
        <x:v>45849</x:v>
      </x:c>
      <x:c r="C206" s="25" t="str">
        <x:v>Mansoura</x:v>
      </x:c>
      <x:c r="D206" s="25" t="str">
        <x:v>Mit Ghamr</x:v>
      </x:c>
      <x:c r="E206" s="25" t="str">
        <x:v>Aya Farouk</x:v>
      </x:c>
      <x:c r="F206" s="25" t="str">
        <x:v>Omar Hassan</x:v>
      </x:c>
      <x:c r="G206" s="25" t="str">
        <x:v>Consumer</x:v>
      </x:c>
      <x:c r="H206" s="25" t="str">
        <x:v>Website</x:v>
      </x:c>
      <x:c r="I206" s="25" t="str">
        <x:v>Electronics</x:v>
      </x:c>
      <x:c r="J206" s="25" t="str">
        <x:v>Tablet</x:v>
      </x:c>
      <x:c r="K206" s="25" t="n">
        <x:v>4</x:v>
      </x:c>
      <x:c r="L206" s="26" t="n">
        <x:v>9269</x:v>
      </x:c>
      <x:c r="M206" s="27" t="n">
        <x:v>0.05</x:v>
      </x:c>
      <x:c r="N206" s="26" t="n">
        <x:f>K206*L206</x:f>
        <x:v>37076</x:v>
      </x:c>
      <x:c r="O206" s="26" t="n">
        <x:f>N206*(1-M206)</x:f>
        <x:v>35222.2</x:v>
      </x:c>
      <x:c r="P206" s="26" t="n">
        <x:v>7421</x:v>
      </x:c>
      <x:c r="Q206" s="26" t="n">
        <x:f>K206*P206</x:f>
        <x:v>29684</x:v>
      </x:c>
      <x:c r="R206" s="26" t="n">
        <x:f>O206-Q206</x:f>
        <x:v>5538.199999999997</x:v>
      </x:c>
      <x:c r="S206" s="28" t="n">
        <x:f>IF(O206=0,0,R206/O206)</x:f>
        <x:v>0.1572360613476727</x:v>
      </x:c>
      <x:c r="T206" s="25" t="str">
        <x:v>Credit Card</x:v>
      </x:c>
      <x:c r="U206" s="25" t="str">
        <x:v>Completed</x:v>
      </x:c>
      <x:c r="V206" s="29" t="n">
        <x:v>4</x:v>
      </x:c>
    </x:row>
    <x:row r="207">
      <x:c r="A207" s="23" t="str">
        <x:v>MAN-2025-00206</x:v>
      </x:c>
      <x:c r="B207" s="24" t="n">
        <x:v>45743</x:v>
      </x:c>
      <x:c r="C207" s="25" t="str">
        <x:v>Mansoura</x:v>
      </x:c>
      <x:c r="D207" s="25" t="str">
        <x:v>Talkha</x:v>
      </x:c>
      <x:c r="E207" s="25" t="str">
        <x:v>Youssef Fathy</x:v>
      </x:c>
      <x:c r="F207" s="25" t="str">
        <x:v>Hana Gamal</x:v>
      </x:c>
      <x:c r="G207" s="25" t="str">
        <x:v>Corporate</x:v>
      </x:c>
      <x:c r="H207" s="25" t="str">
        <x:v>Mobile App</x:v>
      </x:c>
      <x:c r="I207" s="25" t="str">
        <x:v>Office Supplies</x:v>
      </x:c>
      <x:c r="J207" s="25" t="str">
        <x:v>Calculator</x:v>
      </x:c>
      <x:c r="K207" s="25" t="n">
        <x:v>4</x:v>
      </x:c>
      <x:c r="L207" s="26" t="n">
        <x:v>458</x:v>
      </x:c>
      <x:c r="M207" s="27" t="n">
        <x:v>0.05</x:v>
      </x:c>
      <x:c r="N207" s="26" t="n">
        <x:f>K207*L207</x:f>
        <x:v>1832</x:v>
      </x:c>
      <x:c r="O207" s="26" t="n">
        <x:f>N207*(1-M207)</x:f>
        <x:v>1740.3999999999999</x:v>
      </x:c>
      <x:c r="P207" s="26" t="n">
        <x:v>285</x:v>
      </x:c>
      <x:c r="Q207" s="26" t="n">
        <x:f>K207*P207</x:f>
        <x:v>1140</x:v>
      </x:c>
      <x:c r="R207" s="26" t="n">
        <x:f>O207-Q207</x:f>
        <x:v>600.3999999999999</x:v>
      </x:c>
      <x:c r="S207" s="28" t="n">
        <x:f>IF(O207=0,0,R207/O207)</x:f>
        <x:v>0.3449781659388646</x:v>
      </x:c>
      <x:c r="T207" s="25" t="str">
        <x:v>Credit Card</x:v>
      </x:c>
      <x:c r="U207" s="25" t="str">
        <x:v>Returned</x:v>
      </x:c>
      <x:c r="V207" s="29" t="n">
        <x:v>4</x:v>
      </x:c>
    </x:row>
    <x:row r="208">
      <x:c r="A208" s="23" t="str">
        <x:v>MAN-2025-00207</x:v>
      </x:c>
      <x:c r="B208" s="24" t="n">
        <x:v>45726</x:v>
      </x:c>
      <x:c r="C208" s="25" t="str">
        <x:v>Mansoura</x:v>
      </x:c>
      <x:c r="D208" s="25" t="str">
        <x:v>Mansoura City</x:v>
      </x:c>
      <x:c r="E208" s="25" t="str">
        <x:v>Salma Mansour</x:v>
      </x:c>
      <x:c r="F208" s="25" t="str">
        <x:v>Aya Nasser</x:v>
      </x:c>
      <x:c r="G208" s="25" t="str">
        <x:v>Consumer</x:v>
      </x:c>
      <x:c r="H208" s="25" t="str">
        <x:v>Retail Store</x:v>
      </x:c>
      <x:c r="I208" s="25" t="str">
        <x:v>Home Appliances</x:v>
      </x:c>
      <x:c r="J208" s="25" t="str">
        <x:v>Microwave</x:v>
      </x:c>
      <x:c r="K208" s="25" t="n">
        <x:v>3</x:v>
      </x:c>
      <x:c r="L208" s="26" t="n">
        <x:v>5602</x:v>
      </x:c>
      <x:c r="M208" s="27" t="n">
        <x:v>0.1</x:v>
      </x:c>
      <x:c r="N208" s="26" t="n">
        <x:f>K208*L208</x:f>
        <x:v>16806</x:v>
      </x:c>
      <x:c r="O208" s="26" t="n">
        <x:f>N208*(1-M208)</x:f>
        <x:v>15125.4</x:v>
      </x:c>
      <x:c r="P208" s="26" t="n">
        <x:v>4271</x:v>
      </x:c>
      <x:c r="Q208" s="26" t="n">
        <x:f>K208*P208</x:f>
        <x:v>12813</x:v>
      </x:c>
      <x:c r="R208" s="26" t="n">
        <x:f>O208-Q208</x:f>
        <x:v>2312.3999999999996</x:v>
      </x:c>
      <x:c r="S208" s="28" t="n">
        <x:f>IF(O208=0,0,R208/O208)</x:f>
        <x:v>0.15288190725534528</x:v>
      </x:c>
      <x:c r="T208" s="25" t="str">
        <x:v>Credit Card</x:v>
      </x:c>
      <x:c r="U208" s="25" t="str">
        <x:v>Completed</x:v>
      </x:c>
      <x:c r="V208" s="29" t="n">
        <x:v>3</x:v>
      </x:c>
    </x:row>
    <x:row r="209">
      <x:c r="A209" s="23" t="str">
        <x:v>MAN-2025-00208</x:v>
      </x:c>
      <x:c r="B209" s="24" t="n">
        <x:v>45744</x:v>
      </x:c>
      <x:c r="C209" s="25" t="str">
        <x:v>Mansoura</x:v>
      </x:c>
      <x:c r="D209" s="25" t="str">
        <x:v>Aga</x:v>
      </x:c>
      <x:c r="E209" s="25" t="str">
        <x:v>Salma Mansour</x:v>
      </x:c>
      <x:c r="F209" s="25" t="str">
        <x:v>Sara Adel</x:v>
      </x:c>
      <x:c r="G209" s="25" t="str">
        <x:v>Consumer</x:v>
      </x:c>
      <x:c r="H209" s="25" t="str">
        <x:v>Mobile App</x:v>
      </x:c>
      <x:c r="I209" s="25" t="str">
        <x:v>Office Supplies</x:v>
      </x:c>
      <x:c r="J209" s="25" t="str">
        <x:v>Ink Cartridge</x:v>
      </x:c>
      <x:c r="K209" s="25" t="n">
        <x:v>3</x:v>
      </x:c>
      <x:c r="L209" s="26" t="n">
        <x:v>853</x:v>
      </x:c>
      <x:c r="M209" s="27" t="n">
        <x:v>0</x:v>
      </x:c>
      <x:c r="N209" s="26" t="n">
        <x:f>K209*L209</x:f>
        <x:v>2559</x:v>
      </x:c>
      <x:c r="O209" s="26" t="n">
        <x:f>N209*(1-M209)</x:f>
        <x:v>2559</x:v>
      </x:c>
      <x:c r="P209" s="26" t="n">
        <x:v>554</x:v>
      </x:c>
      <x:c r="Q209" s="26" t="n">
        <x:f>K209*P209</x:f>
        <x:v>1662</x:v>
      </x:c>
      <x:c r="R209" s="26" t="n">
        <x:f>O209-Q209</x:f>
        <x:v>897</x:v>
      </x:c>
      <x:c r="S209" s="28" t="n">
        <x:f>IF(O209=0,0,R209/O209)</x:f>
        <x:v>0.3505275498241501</x:v>
      </x:c>
      <x:c r="T209" s="25" t="str">
        <x:v>Credit Card</x:v>
      </x:c>
      <x:c r="U209" s="25" t="str">
        <x:v>Completed</x:v>
      </x:c>
      <x:c r="V209" s="29" t="n">
        <x:v>5</x:v>
      </x:c>
    </x:row>
    <x:row r="210">
      <x:c r="A210" s="23" t="str">
        <x:v>MAN-2025-00209</x:v>
      </x:c>
      <x:c r="B210" s="24" t="n">
        <x:v>45719</x:v>
      </x:c>
      <x:c r="C210" s="25" t="str">
        <x:v>Mansoura</x:v>
      </x:c>
      <x:c r="D210" s="25" t="str">
        <x:v>Mansoura City</x:v>
      </x:c>
      <x:c r="E210" s="25" t="str">
        <x:v>Aya Farouk</x:v>
      </x:c>
      <x:c r="F210" s="25" t="str">
        <x:v>Mariam Tarek</x:v>
      </x:c>
      <x:c r="G210" s="25" t="str">
        <x:v>Consumer</x:v>
      </x:c>
      <x:c r="H210" s="25" t="str">
        <x:v>Retail Store</x:v>
      </x:c>
      <x:c r="I210" s="25" t="str">
        <x:v>Home Appliances</x:v>
      </x:c>
      <x:c r="J210" s="25" t="str">
        <x:v>Air Conditioner</x:v>
      </x:c>
      <x:c r="K210" s="25" t="n">
        <x:v>1</x:v>
      </x:c>
      <x:c r="L210" s="26" t="n">
        <x:v>20355</x:v>
      </x:c>
      <x:c r="M210" s="27" t="n">
        <x:v>0.1</x:v>
      </x:c>
      <x:c r="N210" s="26" t="n">
        <x:f>K210*L210</x:f>
        <x:v>20355</x:v>
      </x:c>
      <x:c r="O210" s="26" t="n">
        <x:f>N210*(1-M210)</x:f>
        <x:v>18319.5</x:v>
      </x:c>
      <x:c r="P210" s="26" t="n">
        <x:v>18293</x:v>
      </x:c>
      <x:c r="Q210" s="26" t="n">
        <x:f>K210*P210</x:f>
        <x:v>18293</x:v>
      </x:c>
      <x:c r="R210" s="26" t="n">
        <x:f>O210-Q210</x:f>
        <x:v>26.5</x:v>
      </x:c>
      <x:c r="S210" s="28" t="n">
        <x:f>IF(O210=0,0,R210/O210)</x:f>
        <x:v>0.0014465460301864134</x:v>
      </x:c>
      <x:c r="T210" s="25" t="str">
        <x:v>Bank Transfer</x:v>
      </x:c>
      <x:c r="U210" s="25" t="str">
        <x:v>Completed</x:v>
      </x:c>
      <x:c r="V210" s="29" t="n">
        <x:v>5</x:v>
      </x:c>
    </x:row>
    <x:row r="211">
      <x:c r="A211" s="23" t="str">
        <x:v>MAN-2025-00210</x:v>
      </x:c>
      <x:c r="B211" s="24" t="n">
        <x:v>45869</x:v>
      </x:c>
      <x:c r="C211" s="25" t="str">
        <x:v>Mansoura</x:v>
      </x:c>
      <x:c r="D211" s="25" t="str">
        <x:v>Sherbin</x:v>
      </x:c>
      <x:c r="E211" s="25" t="str">
        <x:v>Youssef Fathy</x:v>
      </x:c>
      <x:c r="F211" s="25" t="str">
        <x:v>Salma Khalil</x:v>
      </x:c>
      <x:c r="G211" s="25" t="str">
        <x:v>Corporate</x:v>
      </x:c>
      <x:c r="H211" s="25" t="str">
        <x:v>Mobile App</x:v>
      </x:c>
      <x:c r="I211" s="25" t="str">
        <x:v>Furniture</x:v>
      </x:c>
      <x:c r="J211" s="25" t="str">
        <x:v>Sofa</x:v>
      </x:c>
      <x:c r="K211" s="25" t="n">
        <x:v>2</x:v>
      </x:c>
      <x:c r="L211" s="26" t="n">
        <x:v>13019</x:v>
      </x:c>
      <x:c r="M211" s="27" t="n">
        <x:v>0.05</x:v>
      </x:c>
      <x:c r="N211" s="26" t="n">
        <x:f>K211*L211</x:f>
        <x:v>26038</x:v>
      </x:c>
      <x:c r="O211" s="26" t="n">
        <x:f>N211*(1-M211)</x:f>
        <x:v>24736.1</x:v>
      </x:c>
      <x:c r="P211" s="26" t="n">
        <x:v>11051</x:v>
      </x:c>
      <x:c r="Q211" s="26" t="n">
        <x:f>K211*P211</x:f>
        <x:v>22102</x:v>
      </x:c>
      <x:c r="R211" s="26" t="n">
        <x:f>O211-Q211</x:f>
        <x:v>2634.0999999999985</x:v>
      </x:c>
      <x:c r="S211" s="28" t="n">
        <x:f>IF(O211=0,0,R211/O211)</x:f>
        <x:v>0.10648808825966902</x:v>
      </x:c>
      <x:c r="T211" s="25" t="str">
        <x:v>Bank Transfer</x:v>
      </x:c>
      <x:c r="U211" s="25" t="str">
        <x:v>Completed</x:v>
      </x:c>
      <x:c r="V211" s="29" t="n">
        <x:v>5</x:v>
      </x:c>
    </x:row>
    <x:row r="212">
      <x:c r="A212" s="23" t="str">
        <x:v>MAN-2025-00211</x:v>
      </x:c>
      <x:c r="B212" s="24" t="n">
        <x:v>45897</x:v>
      </x:c>
      <x:c r="C212" s="25" t="str">
        <x:v>Mansoura</x:v>
      </x:c>
      <x:c r="D212" s="25" t="str">
        <x:v>Mansoura City</x:v>
      </x:c>
      <x:c r="E212" s="25" t="str">
        <x:v>Aya Farouk</x:v>
      </x:c>
      <x:c r="F212" s="25" t="str">
        <x:v>Amr Gamal</x:v>
      </x:c>
      <x:c r="G212" s="25" t="str">
        <x:v>Consumer</x:v>
      </x:c>
      <x:c r="H212" s="25" t="str">
        <x:v>Mobile App</x:v>
      </x:c>
      <x:c r="I212" s="25" t="str">
        <x:v>Home Appliances</x:v>
      </x:c>
      <x:c r="J212" s="25" t="str">
        <x:v>Blender</x:v>
      </x:c>
      <x:c r="K212" s="25" t="n">
        <x:v>3</x:v>
      </x:c>
      <x:c r="L212" s="26" t="n">
        <x:v>1721</x:v>
      </x:c>
      <x:c r="M212" s="27" t="n">
        <x:v>0.05</x:v>
      </x:c>
      <x:c r="N212" s="26" t="n">
        <x:f>K212*L212</x:f>
        <x:v>5163</x:v>
      </x:c>
      <x:c r="O212" s="26" t="n">
        <x:f>N212*(1-M212)</x:f>
        <x:v>4904.849999999999</x:v>
      </x:c>
      <x:c r="P212" s="26" t="n">
        <x:v>1266</x:v>
      </x:c>
      <x:c r="Q212" s="26" t="n">
        <x:f>K212*P212</x:f>
        <x:v>3798</x:v>
      </x:c>
      <x:c r="R212" s="26" t="n">
        <x:f>O212-Q212</x:f>
        <x:v>1106.8499999999995</x:v>
      </x:c>
      <x:c r="S212" s="28" t="n">
        <x:f>IF(O212=0,0,R212/O212)</x:f>
        <x:v>0.2256643934065261</x:v>
      </x:c>
      <x:c r="T212" s="25" t="str">
        <x:v>Bank Transfer</x:v>
      </x:c>
      <x:c r="U212" s="25" t="str">
        <x:v>Completed</x:v>
      </x:c>
      <x:c r="V212" s="29" t="n">
        <x:v>5</x:v>
      </x:c>
    </x:row>
    <x:row r="213">
      <x:c r="A213" s="23" t="str">
        <x:v>MAN-2025-00212</x:v>
      </x:c>
      <x:c r="B213" s="24" t="n">
        <x:v>45770</x:v>
      </x:c>
      <x:c r="C213" s="25" t="str">
        <x:v>Mansoura</x:v>
      </x:c>
      <x:c r="D213" s="25" t="str">
        <x:v>Talkha</x:v>
      </x:c>
      <x:c r="E213" s="25" t="str">
        <x:v>Ali Sayed</x:v>
      </x:c>
      <x:c r="F213" s="25" t="str">
        <x:v>Mohamed Gamal</x:v>
      </x:c>
      <x:c r="G213" s="25" t="str">
        <x:v>Small Business</x:v>
      </x:c>
      <x:c r="H213" s="25" t="str">
        <x:v>Retail Store</x:v>
      </x:c>
      <x:c r="I213" s="25" t="str">
        <x:v>Electronics</x:v>
      </x:c>
      <x:c r="J213" s="25" t="str">
        <x:v>Tablet</x:v>
      </x:c>
      <x:c r="K213" s="25" t="n">
        <x:v>4</x:v>
      </x:c>
      <x:c r="L213" s="26" t="n">
        <x:v>9534</x:v>
      </x:c>
      <x:c r="M213" s="27" t="n">
        <x:v>0</x:v>
      </x:c>
      <x:c r="N213" s="26" t="n">
        <x:f>K213*L213</x:f>
        <x:v>38136</x:v>
      </x:c>
      <x:c r="O213" s="26" t="n">
        <x:f>N213*(1-M213)</x:f>
        <x:v>38136</x:v>
      </x:c>
      <x:c r="P213" s="26" t="n">
        <x:v>7265</x:v>
      </x:c>
      <x:c r="Q213" s="26" t="n">
        <x:f>K213*P213</x:f>
        <x:v>29060</x:v>
      </x:c>
      <x:c r="R213" s="26" t="n">
        <x:f>O213-Q213</x:f>
        <x:v>9076</x:v>
      </x:c>
      <x:c r="S213" s="28" t="n">
        <x:f>IF(O213=0,0,R213/O213)</x:f>
        <x:v>0.2379903503251521</x:v>
      </x:c>
      <x:c r="T213" s="25" t="str">
        <x:v>Digital Wallet</x:v>
      </x:c>
      <x:c r="U213" s="25" t="str">
        <x:v>Completed</x:v>
      </x:c>
      <x:c r="V213" s="29" t="n">
        <x:v>4</x:v>
      </x:c>
    </x:row>
    <x:row r="214">
      <x:c r="A214" s="23" t="str">
        <x:v>MAN-2025-00213</x:v>
      </x:c>
      <x:c r="B214" s="24" t="n">
        <x:v>45823</x:v>
      </x:c>
      <x:c r="C214" s="25" t="str">
        <x:v>Mansoura</x:v>
      </x:c>
      <x:c r="D214" s="25" t="str">
        <x:v>Aga</x:v>
      </x:c>
      <x:c r="E214" s="25" t="str">
        <x:v>Salma Mansour</x:v>
      </x:c>
      <x:c r="F214" s="25" t="str">
        <x:v>Ali Farouk</x:v>
      </x:c>
      <x:c r="G214" s="25" t="str">
        <x:v>Consumer</x:v>
      </x:c>
      <x:c r="H214" s="25" t="str">
        <x:v>Mobile App</x:v>
      </x:c>
      <x:c r="I214" s="25" t="str">
        <x:v>Furniture</x:v>
      </x:c>
      <x:c r="J214" s="25" t="str">
        <x:v>Sofa</x:v>
      </x:c>
      <x:c r="K214" s="25" t="n">
        <x:v>4</x:v>
      </x:c>
      <x:c r="L214" s="26" t="n">
        <x:v>13708</x:v>
      </x:c>
      <x:c r="M214" s="27" t="n">
        <x:v>0</x:v>
      </x:c>
      <x:c r="N214" s="26" t="n">
        <x:f>K214*L214</x:f>
        <x:v>54832</x:v>
      </x:c>
      <x:c r="O214" s="26" t="n">
        <x:f>N214*(1-M214)</x:f>
        <x:v>54832</x:v>
      </x:c>
      <x:c r="P214" s="26" t="n">
        <x:v>11082</x:v>
      </x:c>
      <x:c r="Q214" s="26" t="n">
        <x:f>K214*P214</x:f>
        <x:v>44328</x:v>
      </x:c>
      <x:c r="R214" s="26" t="n">
        <x:f>O214-Q214</x:f>
        <x:v>10504</x:v>
      </x:c>
      <x:c r="S214" s="28" t="n">
        <x:f>IF(O214=0,0,R214/O214)</x:f>
        <x:v>0.19156696819375546</x:v>
      </x:c>
      <x:c r="T214" s="25" t="str">
        <x:v>Cash</x:v>
      </x:c>
      <x:c r="U214" s="25" t="str">
        <x:v>Completed</x:v>
      </x:c>
      <x:c r="V214" s="29" t="n">
        <x:v>5</x:v>
      </x:c>
    </x:row>
    <x:row r="215">
      <x:c r="A215" s="23" t="str">
        <x:v>MAN-2025-00214</x:v>
      </x:c>
      <x:c r="B215" s="24" t="n">
        <x:v>45790</x:v>
      </x:c>
      <x:c r="C215" s="25" t="str">
        <x:v>Mansoura</x:v>
      </x:c>
      <x:c r="D215" s="25" t="str">
        <x:v>Sherbin</x:v>
      </x:c>
      <x:c r="E215" s="25" t="str">
        <x:v>Aya Farouk</x:v>
      </x:c>
      <x:c r="F215" s="25" t="str">
        <x:v>Sara Samir</x:v>
      </x:c>
      <x:c r="G215" s="25" t="str">
        <x:v>Corporate</x:v>
      </x:c>
      <x:c r="H215" s="25" t="str">
        <x:v>Mobile App</x:v>
      </x:c>
      <x:c r="I215" s="25" t="str">
        <x:v>Furniture</x:v>
      </x:c>
      <x:c r="J215" s="25" t="str">
        <x:v>Bookshelf</x:v>
      </x:c>
      <x:c r="K215" s="25" t="n">
        <x:v>1</x:v>
      </x:c>
      <x:c r="L215" s="26" t="n">
        <x:v>3030</x:v>
      </x:c>
      <x:c r="M215" s="27" t="n">
        <x:v>0.1</x:v>
      </x:c>
      <x:c r="N215" s="26" t="n">
        <x:f>K215*L215</x:f>
        <x:v>3030</x:v>
      </x:c>
      <x:c r="O215" s="26" t="n">
        <x:f>N215*(1-M215)</x:f>
        <x:v>2727</x:v>
      </x:c>
      <x:c r="P215" s="26" t="n">
        <x:v>2240</x:v>
      </x:c>
      <x:c r="Q215" s="26" t="n">
        <x:f>K215*P215</x:f>
        <x:v>2240</x:v>
      </x:c>
      <x:c r="R215" s="26" t="n">
        <x:f>O215-Q215</x:f>
        <x:v>487</x:v>
      </x:c>
      <x:c r="S215" s="28" t="n">
        <x:f>IF(O215=0,0,R215/O215)</x:f>
        <x:v>0.17858452511917858</x:v>
      </x:c>
      <x:c r="T215" s="25" t="str">
        <x:v>Digital Wallet</x:v>
      </x:c>
      <x:c r="U215" s="25" t="str">
        <x:v>Cancelled</x:v>
      </x:c>
      <x:c r="V215" s="29" t="n">
        <x:v>5</x:v>
      </x:c>
    </x:row>
    <x:row r="216">
      <x:c r="A216" s="23" t="str">
        <x:v>MAN-2025-00215</x:v>
      </x:c>
      <x:c r="B216" s="24" t="n">
        <x:v>45723</x:v>
      </x:c>
      <x:c r="C216" s="25" t="str">
        <x:v>Mansoura</x:v>
      </x:c>
      <x:c r="D216" s="25" t="str">
        <x:v>Sherbin</x:v>
      </x:c>
      <x:c r="E216" s="25" t="str">
        <x:v>Aya Farouk</x:v>
      </x:c>
      <x:c r="F216" s="25" t="str">
        <x:v>Youssef Ibrahim</x:v>
      </x:c>
      <x:c r="G216" s="25" t="str">
        <x:v>Corporate</x:v>
      </x:c>
      <x:c r="H216" s="25" t="str">
        <x:v>Phone Order</x:v>
      </x:c>
      <x:c r="I216" s="25" t="str">
        <x:v>Furniture</x:v>
      </x:c>
      <x:c r="J216" s="25" t="str">
        <x:v>Bookshelf</x:v>
      </x:c>
      <x:c r="K216" s="25" t="n">
        <x:v>1</x:v>
      </x:c>
      <x:c r="L216" s="26" t="n">
        <x:v>2850</x:v>
      </x:c>
      <x:c r="M216" s="27" t="n">
        <x:v>0</x:v>
      </x:c>
      <x:c r="N216" s="26" t="n">
        <x:f>K216*L216</x:f>
        <x:v>2850</x:v>
      </x:c>
      <x:c r="O216" s="26" t="n">
        <x:f>N216*(1-M216)</x:f>
        <x:v>2850</x:v>
      </x:c>
      <x:c r="P216" s="26" t="n">
        <x:v>2145</x:v>
      </x:c>
      <x:c r="Q216" s="26" t="n">
        <x:f>K216*P216</x:f>
        <x:v>2145</x:v>
      </x:c>
      <x:c r="R216" s="26" t="n">
        <x:f>O216-Q216</x:f>
        <x:v>705</x:v>
      </x:c>
      <x:c r="S216" s="28" t="n">
        <x:f>IF(O216=0,0,R216/O216)</x:f>
        <x:v>0.24736842105263157</x:v>
      </x:c>
      <x:c r="T216" s="25" t="str">
        <x:v>Digital Wallet</x:v>
      </x:c>
      <x:c r="U216" s="25" t="str">
        <x:v>Completed</x:v>
      </x:c>
      <x:c r="V216" s="29" t="n">
        <x:v>4</x:v>
      </x:c>
    </x:row>
    <x:row r="217">
      <x:c r="A217" s="23" t="str">
        <x:v>MAN-2025-00216</x:v>
      </x:c>
      <x:c r="B217" s="24" t="n">
        <x:v>45828</x:v>
      </x:c>
      <x:c r="C217" s="25" t="str">
        <x:v>Mansoura</x:v>
      </x:c>
      <x:c r="D217" s="25" t="str">
        <x:v>Mansoura City</x:v>
      </x:c>
      <x:c r="E217" s="25" t="str">
        <x:v>Ali Sayed</x:v>
      </x:c>
      <x:c r="F217" s="25" t="str">
        <x:v>Mahmoud Nasser</x:v>
      </x:c>
      <x:c r="G217" s="25" t="str">
        <x:v>Corporate</x:v>
      </x:c>
      <x:c r="H217" s="25" t="str">
        <x:v>Website</x:v>
      </x:c>
      <x:c r="I217" s="25" t="str">
        <x:v>Electronics</x:v>
      </x:c>
      <x:c r="J217" s="25" t="str">
        <x:v>Smartphone</x:v>
      </x:c>
      <x:c r="K217" s="25" t="n">
        <x:v>4</x:v>
      </x:c>
      <x:c r="L217" s="26" t="n">
        <x:v>13717</x:v>
      </x:c>
      <x:c r="M217" s="27" t="n">
        <x:v>0.15</x:v>
      </x:c>
      <x:c r="N217" s="26" t="n">
        <x:f>K217*L217</x:f>
        <x:v>54868</x:v>
      </x:c>
      <x:c r="O217" s="26" t="n">
        <x:f>N217*(1-M217)</x:f>
        <x:v>46637.799999999996</x:v>
      </x:c>
      <x:c r="P217" s="26" t="n">
        <x:v>10623</x:v>
      </x:c>
      <x:c r="Q217" s="26" t="n">
        <x:f>K217*P217</x:f>
        <x:v>42492</x:v>
      </x:c>
      <x:c r="R217" s="26" t="n">
        <x:f>O217-Q217</x:f>
        <x:v>4145.799999999996</x:v>
      </x:c>
      <x:c r="S217" s="28" t="n">
        <x:f>IF(O217=0,0,R217/O217)</x:f>
        <x:v>0.08889355844400885</x:v>
      </x:c>
      <x:c r="T217" s="25" t="str">
        <x:v>Bank Transfer</x:v>
      </x:c>
      <x:c r="U217" s="25" t="str">
        <x:v>Completed</x:v>
      </x:c>
      <x:c r="V217" s="29" t="n">
        <x:v>4</x:v>
      </x:c>
    </x:row>
    <x:row r="218">
      <x:c r="A218" s="23" t="str">
        <x:v>MAN-2025-00217</x:v>
      </x:c>
      <x:c r="B218" s="24" t="n">
        <x:v>45957</x:v>
      </x:c>
      <x:c r="C218" s="25" t="str">
        <x:v>Mansoura</x:v>
      </x:c>
      <x:c r="D218" s="25" t="str">
        <x:v>Mansoura City</x:v>
      </x:c>
      <x:c r="E218" s="25" t="str">
        <x:v>Salma Mansour</x:v>
      </x:c>
      <x:c r="F218" s="25" t="str">
        <x:v>Sara Samir</x:v>
      </x:c>
      <x:c r="G218" s="25" t="str">
        <x:v>Consumer</x:v>
      </x:c>
      <x:c r="H218" s="25" t="str">
        <x:v>Phone Order</x:v>
      </x:c>
      <x:c r="I218" s="25" t="str">
        <x:v>Office Supplies</x:v>
      </x:c>
      <x:c r="J218" s="25" t="str">
        <x:v>Calculator</x:v>
      </x:c>
      <x:c r="K218" s="25" t="n">
        <x:v>4</x:v>
      </x:c>
      <x:c r="L218" s="26" t="n">
        <x:v>447</x:v>
      </x:c>
      <x:c r="M218" s="27" t="n">
        <x:v>0.15</x:v>
      </x:c>
      <x:c r="N218" s="26" t="n">
        <x:f>K218*L218</x:f>
        <x:v>1788</x:v>
      </x:c>
      <x:c r="O218" s="26" t="n">
        <x:f>N218*(1-M218)</x:f>
        <x:v>1519.8</x:v>
      </x:c>
      <x:c r="P218" s="26" t="n">
        <x:v>291</x:v>
      </x:c>
      <x:c r="Q218" s="26" t="n">
        <x:f>K218*P218</x:f>
        <x:v>1164</x:v>
      </x:c>
      <x:c r="R218" s="26" t="n">
        <x:f>O218-Q218</x:f>
        <x:v>355.79999999999995</x:v>
      </x:c>
      <x:c r="S218" s="28" t="n">
        <x:f>IF(O218=0,0,R218/O218)</x:f>
        <x:v>0.23410975128306355</x:v>
      </x:c>
      <x:c r="T218" s="25" t="str">
        <x:v>Credit Card</x:v>
      </x:c>
      <x:c r="U218" s="25" t="str">
        <x:v>Completed</x:v>
      </x:c>
      <x:c r="V218" s="29" t="n">
        <x:v>5</x:v>
      </x:c>
    </x:row>
    <x:row r="219">
      <x:c r="A219" s="23" t="str">
        <x:v>MAN-2025-00218</x:v>
      </x:c>
      <x:c r="B219" s="24" t="n">
        <x:v>45727</x:v>
      </x:c>
      <x:c r="C219" s="25" t="str">
        <x:v>Mansoura</x:v>
      </x:c>
      <x:c r="D219" s="25" t="str">
        <x:v>Aga</x:v>
      </x:c>
      <x:c r="E219" s="25" t="str">
        <x:v>Aya Farouk</x:v>
      </x:c>
      <x:c r="F219" s="25" t="str">
        <x:v>Mahmoud Gamal</x:v>
      </x:c>
      <x:c r="G219" s="25" t="str">
        <x:v>Small Business</x:v>
      </x:c>
      <x:c r="H219" s="25" t="str">
        <x:v>Retail Store</x:v>
      </x:c>
      <x:c r="I219" s="25" t="str">
        <x:v>Office Supplies</x:v>
      </x:c>
      <x:c r="J219" s="25" t="str">
        <x:v>Ink Cartridge</x:v>
      </x:c>
      <x:c r="K219" s="25" t="n">
        <x:v>3</x:v>
      </x:c>
      <x:c r="L219" s="26" t="n">
        <x:v>881</x:v>
      </x:c>
      <x:c r="M219" s="27" t="n">
        <x:v>0.15</x:v>
      </x:c>
      <x:c r="N219" s="26" t="n">
        <x:f>K219*L219</x:f>
        <x:v>2643</x:v>
      </x:c>
      <x:c r="O219" s="26" t="n">
        <x:f>N219*(1-M219)</x:f>
        <x:v>2246.5499999999997</x:v>
      </x:c>
      <x:c r="P219" s="26" t="n">
        <x:v>559</x:v>
      </x:c>
      <x:c r="Q219" s="26" t="n">
        <x:f>K219*P219</x:f>
        <x:v>1677</x:v>
      </x:c>
      <x:c r="R219" s="26" t="n">
        <x:f>O219-Q219</x:f>
        <x:v>569.5499999999997</x:v>
      </x:c>
      <x:c r="S219" s="28" t="n">
        <x:f>IF(O219=0,0,R219/O219)</x:f>
        <x:v>0.2535220671696601</x:v>
      </x:c>
      <x:c r="T219" s="25" t="str">
        <x:v>Cash</x:v>
      </x:c>
      <x:c r="U219" s="25" t="str">
        <x:v>Completed</x:v>
      </x:c>
      <x:c r="V219" s="29" t="n">
        <x:v>5</x:v>
      </x:c>
    </x:row>
    <x:row r="220">
      <x:c r="A220" s="23" t="str">
        <x:v>MAN-2025-00219</x:v>
      </x:c>
      <x:c r="B220" s="24" t="n">
        <x:v>45984</x:v>
      </x:c>
      <x:c r="C220" s="25" t="str">
        <x:v>Mansoura</x:v>
      </x:c>
      <x:c r="D220" s="25" t="str">
        <x:v>Sherbin</x:v>
      </x:c>
      <x:c r="E220" s="25" t="str">
        <x:v>Salma Mansour</x:v>
      </x:c>
      <x:c r="F220" s="25" t="str">
        <x:v>Mahmoud Adel</x:v>
      </x:c>
      <x:c r="G220" s="25" t="str">
        <x:v>Small Business</x:v>
      </x:c>
      <x:c r="H220" s="25" t="str">
        <x:v>Retail Store</x:v>
      </x:c>
      <x:c r="I220" s="25" t="str">
        <x:v>Home Appliances</x:v>
      </x:c>
      <x:c r="J220" s="25" t="str">
        <x:v>Blender</x:v>
      </x:c>
      <x:c r="K220" s="25" t="n">
        <x:v>5</x:v>
      </x:c>
      <x:c r="L220" s="26" t="n">
        <x:v>1799</x:v>
      </x:c>
      <x:c r="M220" s="27" t="n">
        <x:v>0.05</x:v>
      </x:c>
      <x:c r="N220" s="26" t="n">
        <x:f>K220*L220</x:f>
        <x:v>8995</x:v>
      </x:c>
      <x:c r="O220" s="26" t="n">
        <x:f>N220*(1-M220)</x:f>
        <x:v>8545.25</x:v>
      </x:c>
      <x:c r="P220" s="26" t="n">
        <x:v>1220</x:v>
      </x:c>
      <x:c r="Q220" s="26" t="n">
        <x:f>K220*P220</x:f>
        <x:v>6100</x:v>
      </x:c>
      <x:c r="R220" s="26" t="n">
        <x:f>O220-Q220</x:f>
        <x:v>2445.25</x:v>
      </x:c>
      <x:c r="S220" s="28" t="n">
        <x:f>IF(O220=0,0,R220/O220)</x:f>
        <x:v>0.28615312600567566</x:v>
      </x:c>
      <x:c r="T220" s="25" t="str">
        <x:v>Bank Transfer</x:v>
      </x:c>
      <x:c r="U220" s="25" t="str">
        <x:v>Completed</x:v>
      </x:c>
      <x:c r="V220" s="29" t="n">
        <x:v>4</x:v>
      </x:c>
    </x:row>
    <x:row r="221">
      <x:c r="A221" s="23" t="str">
        <x:v>MAN-2025-00220</x:v>
      </x:c>
      <x:c r="B221" s="24" t="n">
        <x:v>45658</x:v>
      </x:c>
      <x:c r="C221" s="25" t="str">
        <x:v>Mansoura</x:v>
      </x:c>
      <x:c r="D221" s="25" t="str">
        <x:v>Talkha</x:v>
      </x:c>
      <x:c r="E221" s="25" t="str">
        <x:v>Ali Sayed</x:v>
      </x:c>
      <x:c r="F221" s="25" t="str">
        <x:v>Mahmoud Samir</x:v>
      </x:c>
      <x:c r="G221" s="25" t="str">
        <x:v>Consumer</x:v>
      </x:c>
      <x:c r="H221" s="25" t="str">
        <x:v>Mobile App</x:v>
      </x:c>
      <x:c r="I221" s="25" t="str">
        <x:v>Office Supplies</x:v>
      </x:c>
      <x:c r="J221" s="25" t="str">
        <x:v>Ink Cartridge</x:v>
      </x:c>
      <x:c r="K221" s="25" t="n">
        <x:v>5</x:v>
      </x:c>
      <x:c r="L221" s="26" t="n">
        <x:v>876</x:v>
      </x:c>
      <x:c r="M221" s="27" t="n">
        <x:v>0.05</x:v>
      </x:c>
      <x:c r="N221" s="26" t="n">
        <x:f>K221*L221</x:f>
        <x:v>4380</x:v>
      </x:c>
      <x:c r="O221" s="26" t="n">
        <x:f>N221*(1-M221)</x:f>
        <x:v>4161</x:v>
      </x:c>
      <x:c r="P221" s="26" t="n">
        <x:v>562</x:v>
      </x:c>
      <x:c r="Q221" s="26" t="n">
        <x:f>K221*P221</x:f>
        <x:v>2810</x:v>
      </x:c>
      <x:c r="R221" s="26" t="n">
        <x:f>O221-Q221</x:f>
        <x:v>1351</x:v>
      </x:c>
      <x:c r="S221" s="28" t="n">
        <x:f>IF(O221=0,0,R221/O221)</x:f>
        <x:v>0.3246815669310262</x:v>
      </x:c>
      <x:c r="T221" s="25" t="str">
        <x:v>Debit Card</x:v>
      </x:c>
      <x:c r="U221" s="25" t="str">
        <x:v>Completed</x:v>
      </x:c>
      <x:c r="V221" s="29" t="n">
        <x:v>5</x:v>
      </x:c>
    </x:row>
    <x:row r="222">
      <x:c r="A222" s="23" t="str">
        <x:v>MAN-2025-00221</x:v>
      </x:c>
      <x:c r="B222" s="24" t="n">
        <x:v>45861</x:v>
      </x:c>
      <x:c r="C222" s="25" t="str">
        <x:v>Mansoura</x:v>
      </x:c>
      <x:c r="D222" s="25" t="str">
        <x:v>Mit Ghamr</x:v>
      </x:c>
      <x:c r="E222" s="25" t="str">
        <x:v>Youssef Fathy</x:v>
      </x:c>
      <x:c r="F222" s="25" t="str">
        <x:v>Karim Ibrahim</x:v>
      </x:c>
      <x:c r="G222" s="25" t="str">
        <x:v>Small Business</x:v>
      </x:c>
      <x:c r="H222" s="25" t="str">
        <x:v>Retail Store</x:v>
      </x:c>
      <x:c r="I222" s="25" t="str">
        <x:v>Office Supplies</x:v>
      </x:c>
      <x:c r="J222" s="25" t="str">
        <x:v>Ink Cartridge</x:v>
      </x:c>
      <x:c r="K222" s="25" t="n">
        <x:v>4</x:v>
      </x:c>
      <x:c r="L222" s="26" t="n">
        <x:v>806</x:v>
      </x:c>
      <x:c r="M222" s="27" t="n">
        <x:v>0</x:v>
      </x:c>
      <x:c r="N222" s="26" t="n">
        <x:f>K222*L222</x:f>
        <x:v>3224</x:v>
      </x:c>
      <x:c r="O222" s="26" t="n">
        <x:f>N222*(1-M222)</x:f>
        <x:v>3224</x:v>
      </x:c>
      <x:c r="P222" s="26" t="n">
        <x:v>567</x:v>
      </x:c>
      <x:c r="Q222" s="26" t="n">
        <x:f>K222*P222</x:f>
        <x:v>2268</x:v>
      </x:c>
      <x:c r="R222" s="26" t="n">
        <x:f>O222-Q222</x:f>
        <x:v>956</x:v>
      </x:c>
      <x:c r="S222" s="28" t="n">
        <x:f>IF(O222=0,0,R222/O222)</x:f>
        <x:v>0.29652605459057074</x:v>
      </x:c>
      <x:c r="T222" s="25" t="str">
        <x:v>Debit Card</x:v>
      </x:c>
      <x:c r="U222" s="25" t="str">
        <x:v>Completed</x:v>
      </x:c>
      <x:c r="V222" s="29" t="n">
        <x:v>5</x:v>
      </x:c>
    </x:row>
    <x:row r="223">
      <x:c r="A223" s="23" t="str">
        <x:v>MAN-2025-00222</x:v>
      </x:c>
      <x:c r="B223" s="24" t="n">
        <x:v>45707</x:v>
      </x:c>
      <x:c r="C223" s="25" t="str">
        <x:v>Mansoura</x:v>
      </x:c>
      <x:c r="D223" s="25" t="str">
        <x:v>Talkha</x:v>
      </x:c>
      <x:c r="E223" s="25" t="str">
        <x:v>Youssef Fathy</x:v>
      </x:c>
      <x:c r="F223" s="25" t="str">
        <x:v>Amr Sayed</x:v>
      </x:c>
      <x:c r="G223" s="25" t="str">
        <x:v>Consumer</x:v>
      </x:c>
      <x:c r="H223" s="25" t="str">
        <x:v>Mobile App</x:v>
      </x:c>
      <x:c r="I223" s="25" t="str">
        <x:v>Furniture</x:v>
      </x:c>
      <x:c r="J223" s="25" t="str">
        <x:v>Office Chair</x:v>
      </x:c>
      <x:c r="K223" s="25" t="n">
        <x:v>2</x:v>
      </x:c>
      <x:c r="L223" s="26" t="n">
        <x:v>3785</x:v>
      </x:c>
      <x:c r="M223" s="27" t="n">
        <x:v>0</x:v>
      </x:c>
      <x:c r="N223" s="26" t="n">
        <x:f>K223*L223</x:f>
        <x:v>7570</x:v>
      </x:c>
      <x:c r="O223" s="26" t="n">
        <x:f>N223*(1-M223)</x:f>
        <x:v>7570</x:v>
      </x:c>
      <x:c r="P223" s="26" t="n">
        <x:v>2879</x:v>
      </x:c>
      <x:c r="Q223" s="26" t="n">
        <x:f>K223*P223</x:f>
        <x:v>5758</x:v>
      </x:c>
      <x:c r="R223" s="26" t="n">
        <x:f>O223-Q223</x:f>
        <x:v>1812</x:v>
      </x:c>
      <x:c r="S223" s="28" t="n">
        <x:f>IF(O223=0,0,R223/O223)</x:f>
        <x:v>0.2393659180977543</x:v>
      </x:c>
      <x:c r="T223" s="25" t="str">
        <x:v>Bank Transfer</x:v>
      </x:c>
      <x:c r="U223" s="25" t="str">
        <x:v>Completed</x:v>
      </x:c>
      <x:c r="V223" s="29" t="n">
        <x:v>5</x:v>
      </x:c>
    </x:row>
    <x:row r="224">
      <x:c r="A224" s="23" t="str">
        <x:v>MAN-2025-00223</x:v>
      </x:c>
      <x:c r="B224" s="24" t="n">
        <x:v>45914</x:v>
      </x:c>
      <x:c r="C224" s="25" t="str">
        <x:v>Mansoura</x:v>
      </x:c>
      <x:c r="D224" s="25" t="str">
        <x:v>Sherbin</x:v>
      </x:c>
      <x:c r="E224" s="25" t="str">
        <x:v>Aya Farouk</x:v>
      </x:c>
      <x:c r="F224" s="25" t="str">
        <x:v>Amr Mansour</x:v>
      </x:c>
      <x:c r="G224" s="25" t="str">
        <x:v>Consumer</x:v>
      </x:c>
      <x:c r="H224" s="25" t="str">
        <x:v>Retail Store</x:v>
      </x:c>
      <x:c r="I224" s="25" t="str">
        <x:v>Home Appliances</x:v>
      </x:c>
      <x:c r="J224" s="25" t="str">
        <x:v>Blender</x:v>
      </x:c>
      <x:c r="K224" s="25" t="n">
        <x:v>2</x:v>
      </x:c>
      <x:c r="L224" s="26" t="n">
        <x:v>1625</x:v>
      </x:c>
      <x:c r="M224" s="27" t="n">
        <x:v>0.1</x:v>
      </x:c>
      <x:c r="N224" s="26" t="n">
        <x:f>K224*L224</x:f>
        <x:v>3250</x:v>
      </x:c>
      <x:c r="O224" s="26" t="n">
        <x:f>N224*(1-M224)</x:f>
        <x:v>2925</x:v>
      </x:c>
      <x:c r="P224" s="26" t="n">
        <x:v>1279</x:v>
      </x:c>
      <x:c r="Q224" s="26" t="n">
        <x:f>K224*P224</x:f>
        <x:v>2558</x:v>
      </x:c>
      <x:c r="R224" s="26" t="n">
        <x:f>O224-Q224</x:f>
        <x:v>367</x:v>
      </x:c>
      <x:c r="S224" s="28" t="n">
        <x:f>IF(O224=0,0,R224/O224)</x:f>
        <x:v>0.12547008547008548</x:v>
      </x:c>
      <x:c r="T224" s="25" t="str">
        <x:v>Cash</x:v>
      </x:c>
      <x:c r="U224" s="25" t="str">
        <x:v>Completed</x:v>
      </x:c>
      <x:c r="V224" s="29" t="n">
        <x:v>5</x:v>
      </x:c>
    </x:row>
    <x:row r="225">
      <x:c r="A225" s="23" t="str">
        <x:v>MAN-2025-00224</x:v>
      </x:c>
      <x:c r="B225" s="24" t="n">
        <x:v>45967</x:v>
      </x:c>
      <x:c r="C225" s="25" t="str">
        <x:v>Mansoura</x:v>
      </x:c>
      <x:c r="D225" s="25" t="str">
        <x:v>Mansoura City</x:v>
      </x:c>
      <x:c r="E225" s="25" t="str">
        <x:v>Salma Mansour</x:v>
      </x:c>
      <x:c r="F225" s="25" t="str">
        <x:v>Hana Tarek</x:v>
      </x:c>
      <x:c r="G225" s="25" t="str">
        <x:v>Small Business</x:v>
      </x:c>
      <x:c r="H225" s="25" t="str">
        <x:v>Website</x:v>
      </x:c>
      <x:c r="I225" s="25" t="str">
        <x:v>Office Supplies</x:v>
      </x:c>
      <x:c r="J225" s="25" t="str">
        <x:v>Calculator</x:v>
      </x:c>
      <x:c r="K225" s="25" t="n">
        <x:v>2</x:v>
      </x:c>
      <x:c r="L225" s="26" t="n">
        <x:v>445</x:v>
      </x:c>
      <x:c r="M225" s="27" t="n">
        <x:v>0.1</x:v>
      </x:c>
      <x:c r="N225" s="26" t="n">
        <x:f>K225*L225</x:f>
        <x:v>890</x:v>
      </x:c>
      <x:c r="O225" s="26" t="n">
        <x:f>N225*(1-M225)</x:f>
        <x:v>801</x:v>
      </x:c>
      <x:c r="P225" s="26" t="n">
        <x:v>279</x:v>
      </x:c>
      <x:c r="Q225" s="26" t="n">
        <x:f>K225*P225</x:f>
        <x:v>558</x:v>
      </x:c>
      <x:c r="R225" s="26" t="n">
        <x:f>O225-Q225</x:f>
        <x:v>243</x:v>
      </x:c>
      <x:c r="S225" s="28" t="n">
        <x:f>IF(O225=0,0,R225/O225)</x:f>
        <x:v>0.30337078651685395</x:v>
      </x:c>
      <x:c r="T225" s="25" t="str">
        <x:v>Cash</x:v>
      </x:c>
      <x:c r="U225" s="25" t="str">
        <x:v>Cancelled</x:v>
      </x:c>
      <x:c r="V225" s="29" t="n">
        <x:v>3</x:v>
      </x:c>
    </x:row>
    <x:row r="226">
      <x:c r="A226" s="23" t="str">
        <x:v>MAN-2025-00225</x:v>
      </x:c>
      <x:c r="B226" s="24" t="n">
        <x:v>45705</x:v>
      </x:c>
      <x:c r="C226" s="25" t="str">
        <x:v>Mansoura</x:v>
      </x:c>
      <x:c r="D226" s="25" t="str">
        <x:v>Talkha</x:v>
      </x:c>
      <x:c r="E226" s="25" t="str">
        <x:v>Aya Farouk</x:v>
      </x:c>
      <x:c r="F226" s="25" t="str">
        <x:v>Mariam Mansour</x:v>
      </x:c>
      <x:c r="G226" s="25" t="str">
        <x:v>Consumer</x:v>
      </x:c>
      <x:c r="H226" s="25" t="str">
        <x:v>Phone Order</x:v>
      </x:c>
      <x:c r="I226" s="25" t="str">
        <x:v>Office Supplies</x:v>
      </x:c>
      <x:c r="J226" s="25" t="str">
        <x:v>Printer</x:v>
      </x:c>
      <x:c r="K226" s="25" t="n">
        <x:v>1</x:v>
      </x:c>
      <x:c r="L226" s="26" t="n">
        <x:v>6318</x:v>
      </x:c>
      <x:c r="M226" s="27" t="n">
        <x:v>0.1</x:v>
      </x:c>
      <x:c r="N226" s="26" t="n">
        <x:f>K226*L226</x:f>
        <x:v>6318</x:v>
      </x:c>
      <x:c r="O226" s="26" t="n">
        <x:f>N226*(1-M226)</x:f>
        <x:v>5686.2</x:v>
      </x:c>
      <x:c r="P226" s="26" t="n">
        <x:v>5544</x:v>
      </x:c>
      <x:c r="Q226" s="26" t="n">
        <x:f>K226*P226</x:f>
        <x:v>5544</x:v>
      </x:c>
      <x:c r="R226" s="26" t="n">
        <x:f>O226-Q226</x:f>
        <x:v>142.19999999999982</x:v>
      </x:c>
      <x:c r="S226" s="28" t="n">
        <x:f>IF(O226=0,0,R226/O226)</x:f>
        <x:v>0.025007913896802753</x:v>
      </x:c>
      <x:c r="T226" s="25" t="str">
        <x:v>Debit Card</x:v>
      </x:c>
      <x:c r="U226" s="25" t="str">
        <x:v>Cancelled</x:v>
      </x:c>
      <x:c r="V226" s="29" t="n">
        <x:v>5</x:v>
      </x:c>
    </x:row>
    <x:row r="227">
      <x:c r="A227" s="23" t="str">
        <x:v>MAN-2025-00226</x:v>
      </x:c>
      <x:c r="B227" s="24" t="n">
        <x:v>45977</x:v>
      </x:c>
      <x:c r="C227" s="25" t="str">
        <x:v>Mansoura</x:v>
      </x:c>
      <x:c r="D227" s="25" t="str">
        <x:v>Sherbin</x:v>
      </x:c>
      <x:c r="E227" s="25" t="str">
        <x:v>Youssef Fathy</x:v>
      </x:c>
      <x:c r="F227" s="25" t="str">
        <x:v>Youssef Samir</x:v>
      </x:c>
      <x:c r="G227" s="25" t="str">
        <x:v>Consumer</x:v>
      </x:c>
      <x:c r="H227" s="25" t="str">
        <x:v>Website</x:v>
      </x:c>
      <x:c r="I227" s="25" t="str">
        <x:v>Furniture</x:v>
      </x:c>
      <x:c r="J227" s="25" t="str">
        <x:v>Desk</x:v>
      </x:c>
      <x:c r="K227" s="25" t="n">
        <x:v>3</x:v>
      </x:c>
      <x:c r="L227" s="26" t="n">
        <x:v>4806</x:v>
      </x:c>
      <x:c r="M227" s="27" t="n">
        <x:v>0</x:v>
      </x:c>
      <x:c r="N227" s="26" t="n">
        <x:f>K227*L227</x:f>
        <x:v>14418</x:v>
      </x:c>
      <x:c r="O227" s="26" t="n">
        <x:f>N227*(1-M227)</x:f>
        <x:v>14418</x:v>
      </x:c>
      <x:c r="P227" s="26" t="n">
        <x:v>3970</x:v>
      </x:c>
      <x:c r="Q227" s="26" t="n">
        <x:f>K227*P227</x:f>
        <x:v>11910</x:v>
      </x:c>
      <x:c r="R227" s="26" t="n">
        <x:f>O227-Q227</x:f>
        <x:v>2508</x:v>
      </x:c>
      <x:c r="S227" s="28" t="n">
        <x:f>IF(O227=0,0,R227/O227)</x:f>
        <x:v>0.1739492301290054</x:v>
      </x:c>
      <x:c r="T227" s="25" t="str">
        <x:v>Bank Transfer</x:v>
      </x:c>
      <x:c r="U227" s="25" t="str">
        <x:v>Returned</x:v>
      </x:c>
      <x:c r="V227" s="29" t="n">
        <x:v>4</x:v>
      </x:c>
    </x:row>
    <x:row r="228">
      <x:c r="A228" s="23" t="str">
        <x:v>MAN-2025-00227</x:v>
      </x:c>
      <x:c r="B228" s="24" t="n">
        <x:v>45965</x:v>
      </x:c>
      <x:c r="C228" s="25" t="str">
        <x:v>Mansoura</x:v>
      </x:c>
      <x:c r="D228" s="25" t="str">
        <x:v>Talkha</x:v>
      </x:c>
      <x:c r="E228" s="25" t="str">
        <x:v>Ali Sayed</x:v>
      </x:c>
      <x:c r="F228" s="25" t="str">
        <x:v>Sara Gamal</x:v>
      </x:c>
      <x:c r="G228" s="25" t="str">
        <x:v>Consumer</x:v>
      </x:c>
      <x:c r="H228" s="25" t="str">
        <x:v>Retail Store</x:v>
      </x:c>
      <x:c r="I228" s="25" t="str">
        <x:v>Electronics</x:v>
      </x:c>
      <x:c r="J228" s="25" t="str">
        <x:v>Laptop</x:v>
      </x:c>
      <x:c r="K228" s="25" t="n">
        <x:v>3</x:v>
      </x:c>
      <x:c r="L228" s="26" t="n">
        <x:v>22933</x:v>
      </x:c>
      <x:c r="M228" s="27" t="n">
        <x:v>0.1</x:v>
      </x:c>
      <x:c r="N228" s="26" t="n">
        <x:f>K228*L228</x:f>
        <x:v>68799</x:v>
      </x:c>
      <x:c r="O228" s="26" t="n">
        <x:f>N228*(1-M228)</x:f>
        <x:v>61919.1</x:v>
      </x:c>
      <x:c r="P228" s="26" t="n">
        <x:v>21935</x:v>
      </x:c>
      <x:c r="Q228" s="26" t="n">
        <x:f>K228*P228</x:f>
        <x:v>65805</x:v>
      </x:c>
      <x:c r="R228" s="26" t="n">
        <x:f>O228-Q228</x:f>
        <x:v>-3885.9000000000015</x:v>
      </x:c>
      <x:c r="S228" s="28" t="n">
        <x:f>IF(O228=0,0,R228/O228)</x:f>
        <x:v>-0.06275769512153764</x:v>
      </x:c>
      <x:c r="T228" s="25" t="str">
        <x:v>Credit Card</x:v>
      </x:c>
      <x:c r="U228" s="25" t="str">
        <x:v>Cancelled</x:v>
      </x:c>
      <x:c r="V228" s="29" t="n">
        <x:v>5</x:v>
      </x:c>
    </x:row>
    <x:row r="229">
      <x:c r="A229" s="23" t="str">
        <x:v>MAN-2025-00228</x:v>
      </x:c>
      <x:c r="B229" s="24" t="n">
        <x:v>45864</x:v>
      </x:c>
      <x:c r="C229" s="25" t="str">
        <x:v>Mansoura</x:v>
      </x:c>
      <x:c r="D229" s="25" t="str">
        <x:v>Sherbin</x:v>
      </x:c>
      <x:c r="E229" s="25" t="str">
        <x:v>Youssef Fathy</x:v>
      </x:c>
      <x:c r="F229" s="25" t="str">
        <x:v>Sara Khalil</x:v>
      </x:c>
      <x:c r="G229" s="25" t="str">
        <x:v>Small Business</x:v>
      </x:c>
      <x:c r="H229" s="25" t="str">
        <x:v>Retail Store</x:v>
      </x:c>
      <x:c r="I229" s="25" t="str">
        <x:v>Furniture</x:v>
      </x:c>
      <x:c r="J229" s="25" t="str">
        <x:v>Sofa</x:v>
      </x:c>
      <x:c r="K229" s="25" t="n">
        <x:v>4</x:v>
      </x:c>
      <x:c r="L229" s="26" t="n">
        <x:v>13854</x:v>
      </x:c>
      <x:c r="M229" s="27" t="n">
        <x:v>0</x:v>
      </x:c>
      <x:c r="N229" s="26" t="n">
        <x:f>K229*L229</x:f>
        <x:v>55416</x:v>
      </x:c>
      <x:c r="O229" s="26" t="n">
        <x:f>N229*(1-M229)</x:f>
        <x:v>55416</x:v>
      </x:c>
      <x:c r="P229" s="26" t="n">
        <x:v>10744</x:v>
      </x:c>
      <x:c r="Q229" s="26" t="n">
        <x:f>K229*P229</x:f>
        <x:v>42976</x:v>
      </x:c>
      <x:c r="R229" s="26" t="n">
        <x:f>O229-Q229</x:f>
        <x:v>12440</x:v>
      </x:c>
      <x:c r="S229" s="28" t="n">
        <x:f>IF(O229=0,0,R229/O229)</x:f>
        <x:v>0.22448390356575718</x:v>
      </x:c>
      <x:c r="T229" s="25" t="str">
        <x:v>Credit Card</x:v>
      </x:c>
      <x:c r="U229" s="25" t="str">
        <x:v>Completed</x:v>
      </x:c>
      <x:c r="V229" s="29" t="n">
        <x:v>5</x:v>
      </x:c>
    </x:row>
    <x:row r="230">
      <x:c r="A230" s="23" t="str">
        <x:v>MAN-2025-00229</x:v>
      </x:c>
      <x:c r="B230" s="24" t="n">
        <x:v>45959</x:v>
      </x:c>
      <x:c r="C230" s="25" t="str">
        <x:v>Mansoura</x:v>
      </x:c>
      <x:c r="D230" s="25" t="str">
        <x:v>Aga</x:v>
      </x:c>
      <x:c r="E230" s="25" t="str">
        <x:v>Aya Farouk</x:v>
      </x:c>
      <x:c r="F230" s="25" t="str">
        <x:v>Mohamed Gamal</x:v>
      </x:c>
      <x:c r="G230" s="25" t="str">
        <x:v>Small Business</x:v>
      </x:c>
      <x:c r="H230" s="25" t="str">
        <x:v>Mobile App</x:v>
      </x:c>
      <x:c r="I230" s="25" t="str">
        <x:v>Home Appliances</x:v>
      </x:c>
      <x:c r="J230" s="25" t="str">
        <x:v>Washing Machine</x:v>
      </x:c>
      <x:c r="K230" s="25" t="n">
        <x:v>6</x:v>
      </x:c>
      <x:c r="L230" s="26" t="n">
        <x:v>17006</x:v>
      </x:c>
      <x:c r="M230" s="27" t="n">
        <x:v>0.05</x:v>
      </x:c>
      <x:c r="N230" s="26" t="n">
        <x:f>K230*L230</x:f>
        <x:v>102036</x:v>
      </x:c>
      <x:c r="O230" s="26" t="n">
        <x:f>N230*(1-M230)</x:f>
        <x:v>96934.2</x:v>
      </x:c>
      <x:c r="P230" s="26" t="n">
        <x:v>14403</x:v>
      </x:c>
      <x:c r="Q230" s="26" t="n">
        <x:f>K230*P230</x:f>
        <x:v>86418</x:v>
      </x:c>
      <x:c r="R230" s="26" t="n">
        <x:f>O230-Q230</x:f>
        <x:v>10516.199999999997</x:v>
      </x:c>
      <x:c r="S230" s="28" t="n">
        <x:f>IF(O230=0,0,R230/O230)</x:f>
        <x:v>0.10848802589798025</x:v>
      </x:c>
      <x:c r="T230" s="25" t="str">
        <x:v>Cash</x:v>
      </x:c>
      <x:c r="U230" s="25" t="str">
        <x:v>Returned</x:v>
      </x:c>
      <x:c r="V230" s="29" t="n">
        <x:v>5</x:v>
      </x:c>
    </x:row>
    <x:row r="231">
      <x:c r="A231" s="23" t="str">
        <x:v>MAN-2025-00230</x:v>
      </x:c>
      <x:c r="B231" s="24" t="n">
        <x:v>45943</x:v>
      </x:c>
      <x:c r="C231" s="25" t="str">
        <x:v>Mansoura</x:v>
      </x:c>
      <x:c r="D231" s="25" t="str">
        <x:v>Mit Ghamr</x:v>
      </x:c>
      <x:c r="E231" s="25" t="str">
        <x:v>Youssef Fathy</x:v>
      </x:c>
      <x:c r="F231" s="25" t="str">
        <x:v>Farah Sayed</x:v>
      </x:c>
      <x:c r="G231" s="25" t="str">
        <x:v>Small Business</x:v>
      </x:c>
      <x:c r="H231" s="25" t="str">
        <x:v>Retail Store</x:v>
      </x:c>
      <x:c r="I231" s="25" t="str">
        <x:v>Home Appliances</x:v>
      </x:c>
      <x:c r="J231" s="25" t="str">
        <x:v>Air Conditioner</x:v>
      </x:c>
      <x:c r="K231" s="25" t="n">
        <x:v>1</x:v>
      </x:c>
      <x:c r="L231" s="26" t="n">
        <x:v>20811</x:v>
      </x:c>
      <x:c r="M231" s="27" t="n">
        <x:v>0.1</x:v>
      </x:c>
      <x:c r="N231" s="26" t="n">
        <x:f>K231*L231</x:f>
        <x:v>20811</x:v>
      </x:c>
      <x:c r="O231" s="26" t="n">
        <x:f>N231*(1-M231)</x:f>
        <x:v>18729.9</x:v>
      </x:c>
      <x:c r="P231" s="26" t="n">
        <x:v>17942</x:v>
      </x:c>
      <x:c r="Q231" s="26" t="n">
        <x:f>K231*P231</x:f>
        <x:v>17942</x:v>
      </x:c>
      <x:c r="R231" s="26" t="n">
        <x:f>O231-Q231</x:f>
        <x:v>787.9000000000015</x:v>
      </x:c>
      <x:c r="S231" s="28" t="n">
        <x:f>IF(O231=0,0,R231/O231)</x:f>
        <x:v>0.04206642854473336</x:v>
      </x:c>
      <x:c r="T231" s="25" t="str">
        <x:v>Bank Transfer</x:v>
      </x:c>
      <x:c r="U231" s="25" t="str">
        <x:v>Completed</x:v>
      </x:c>
      <x:c r="V231" s="29" t="n">
        <x:v>5</x:v>
      </x:c>
    </x:row>
    <x:row r="232">
      <x:c r="A232" s="23" t="str">
        <x:v>MAN-2025-00231</x:v>
      </x:c>
      <x:c r="B232" s="24" t="n">
        <x:v>46022</x:v>
      </x:c>
      <x:c r="C232" s="25" t="str">
        <x:v>Mansoura</x:v>
      </x:c>
      <x:c r="D232" s="25" t="str">
        <x:v>Talkha</x:v>
      </x:c>
      <x:c r="E232" s="25" t="str">
        <x:v>Ali Sayed</x:v>
      </x:c>
      <x:c r="F232" s="25" t="str">
        <x:v>Sara Fathy</x:v>
      </x:c>
      <x:c r="G232" s="25" t="str">
        <x:v>Consumer</x:v>
      </x:c>
      <x:c r="H232" s="25" t="str">
        <x:v>Mobile App</x:v>
      </x:c>
      <x:c r="I232" s="25" t="str">
        <x:v>Office Supplies</x:v>
      </x:c>
      <x:c r="J232" s="25" t="str">
        <x:v>Calculator</x:v>
      </x:c>
      <x:c r="K232" s="25" t="n">
        <x:v>4</x:v>
      </x:c>
      <x:c r="L232" s="26" t="n">
        <x:v>450</x:v>
      </x:c>
      <x:c r="M232" s="27" t="n">
        <x:v>0.1</x:v>
      </x:c>
      <x:c r="N232" s="26" t="n">
        <x:f>K232*L232</x:f>
        <x:v>1800</x:v>
      </x:c>
      <x:c r="O232" s="26" t="n">
        <x:f>N232*(1-M232)</x:f>
        <x:v>1620</x:v>
      </x:c>
      <x:c r="P232" s="26" t="n">
        <x:v>292</x:v>
      </x:c>
      <x:c r="Q232" s="26" t="n">
        <x:f>K232*P232</x:f>
        <x:v>1168</x:v>
      </x:c>
      <x:c r="R232" s="26" t="n">
        <x:f>O232-Q232</x:f>
        <x:v>452</x:v>
      </x:c>
      <x:c r="S232" s="28" t="n">
        <x:f>IF(O232=0,0,R232/O232)</x:f>
        <x:v>0.27901234567901234</x:v>
      </x:c>
      <x:c r="T232" s="25" t="str">
        <x:v>Debit Card</x:v>
      </x:c>
      <x:c r="U232" s="25" t="str">
        <x:v>Completed</x:v>
      </x:c>
      <x:c r="V232" s="29" t="n">
        <x:v>3</x:v>
      </x:c>
    </x:row>
    <x:row r="233">
      <x:c r="A233" s="23" t="str">
        <x:v>MAN-2025-00232</x:v>
      </x:c>
      <x:c r="B233" s="24" t="n">
        <x:v>45849</x:v>
      </x:c>
      <x:c r="C233" s="25" t="str">
        <x:v>Mansoura</x:v>
      </x:c>
      <x:c r="D233" s="25" t="str">
        <x:v>Aga</x:v>
      </x:c>
      <x:c r="E233" s="25" t="str">
        <x:v>Youssef Fathy</x:v>
      </x:c>
      <x:c r="F233" s="25" t="str">
        <x:v>Ali Nasser</x:v>
      </x:c>
      <x:c r="G233" s="25" t="str">
        <x:v>Corporate</x:v>
      </x:c>
      <x:c r="H233" s="25" t="str">
        <x:v>Mobile App</x:v>
      </x:c>
      <x:c r="I233" s="25" t="str">
        <x:v>Office Supplies</x:v>
      </x:c>
      <x:c r="J233" s="25" t="str">
        <x:v>Printer</x:v>
      </x:c>
      <x:c r="K233" s="25" t="n">
        <x:v>6</x:v>
      </x:c>
      <x:c r="L233" s="26" t="n">
        <x:v>6280</x:v>
      </x:c>
      <x:c r="M233" s="27" t="n">
        <x:v>0.15</x:v>
      </x:c>
      <x:c r="N233" s="26" t="n">
        <x:f>K233*L233</x:f>
        <x:v>37680</x:v>
      </x:c>
      <x:c r="O233" s="26" t="n">
        <x:f>N233*(1-M233)</x:f>
        <x:v>32028</x:v>
      </x:c>
      <x:c r="P233" s="26" t="n">
        <x:v>5259</x:v>
      </x:c>
      <x:c r="Q233" s="26" t="n">
        <x:f>K233*P233</x:f>
        <x:v>31554</x:v>
      </x:c>
      <x:c r="R233" s="26" t="n">
        <x:f>O233-Q233</x:f>
        <x:v>474</x:v>
      </x:c>
      <x:c r="S233" s="28" t="n">
        <x:f>IF(O233=0,0,R233/O233)</x:f>
        <x:v>0.01479955039340577</x:v>
      </x:c>
      <x:c r="T233" s="25" t="str">
        <x:v>Debit Card</x:v>
      </x:c>
      <x:c r="U233" s="25" t="str">
        <x:v>Returned</x:v>
      </x:c>
      <x:c r="V233" s="29" t="n">
        <x:v>5</x:v>
      </x:c>
    </x:row>
    <x:row r="234">
      <x:c r="A234" s="23" t="str">
        <x:v>MAN-2025-00233</x:v>
      </x:c>
      <x:c r="B234" s="24" t="n">
        <x:v>45658</x:v>
      </x:c>
      <x:c r="C234" s="25" t="str">
        <x:v>Mansoura</x:v>
      </x:c>
      <x:c r="D234" s="25" t="str">
        <x:v>Talkha</x:v>
      </x:c>
      <x:c r="E234" s="25" t="str">
        <x:v>Youssef Fathy</x:v>
      </x:c>
      <x:c r="F234" s="25" t="str">
        <x:v>Karim Mansour</x:v>
      </x:c>
      <x:c r="G234" s="25" t="str">
        <x:v>Small Business</x:v>
      </x:c>
      <x:c r="H234" s="25" t="str">
        <x:v>Website</x:v>
      </x:c>
      <x:c r="I234" s="25" t="str">
        <x:v>Home Appliances</x:v>
      </x:c>
      <x:c r="J234" s="25" t="str">
        <x:v>Washing Machine</x:v>
      </x:c>
      <x:c r="K234" s="25" t="n">
        <x:v>1</x:v>
      </x:c>
      <x:c r="L234" s="26" t="n">
        <x:v>15850</x:v>
      </x:c>
      <x:c r="M234" s="27" t="n">
        <x:v>0.1</x:v>
      </x:c>
      <x:c r="N234" s="26" t="n">
        <x:f>K234*L234</x:f>
        <x:v>15850</x:v>
      </x:c>
      <x:c r="O234" s="26" t="n">
        <x:f>N234*(1-M234)</x:f>
        <x:v>14265</x:v>
      </x:c>
      <x:c r="P234" s="26" t="n">
        <x:v>14100</x:v>
      </x:c>
      <x:c r="Q234" s="26" t="n">
        <x:f>K234*P234</x:f>
        <x:v>14100</x:v>
      </x:c>
      <x:c r="R234" s="26" t="n">
        <x:f>O234-Q234</x:f>
        <x:v>165</x:v>
      </x:c>
      <x:c r="S234" s="28" t="n">
        <x:f>IF(O234=0,0,R234/O234)</x:f>
        <x:v>0.011566771819137749</x:v>
      </x:c>
      <x:c r="T234" s="25" t="str">
        <x:v>Cash</x:v>
      </x:c>
      <x:c r="U234" s="25" t="str">
        <x:v>Cancelled</x:v>
      </x:c>
      <x:c r="V234" s="29" t="n">
        <x:v>5</x:v>
      </x:c>
    </x:row>
    <x:row r="235">
      <x:c r="A235" s="23" t="str">
        <x:v>MAN-2025-00234</x:v>
      </x:c>
      <x:c r="B235" s="24" t="n">
        <x:v>45856</x:v>
      </x:c>
      <x:c r="C235" s="25" t="str">
        <x:v>Mansoura</x:v>
      </x:c>
      <x:c r="D235" s="25" t="str">
        <x:v>Mansoura City</x:v>
      </x:c>
      <x:c r="E235" s="25" t="str">
        <x:v>Ali Sayed</x:v>
      </x:c>
      <x:c r="F235" s="25" t="str">
        <x:v>Sara Khalil</x:v>
      </x:c>
      <x:c r="G235" s="25" t="str">
        <x:v>Consumer</x:v>
      </x:c>
      <x:c r="H235" s="25" t="str">
        <x:v>Retail Store</x:v>
      </x:c>
      <x:c r="I235" s="25" t="str">
        <x:v>Electronics</x:v>
      </x:c>
      <x:c r="J235" s="25" t="str">
        <x:v>Tablet</x:v>
      </x:c>
      <x:c r="K235" s="25" t="n">
        <x:v>4</x:v>
      </x:c>
      <x:c r="L235" s="26" t="n">
        <x:v>8398</x:v>
      </x:c>
      <x:c r="M235" s="27" t="n">
        <x:v>0</x:v>
      </x:c>
      <x:c r="N235" s="26" t="n">
        <x:f>K235*L235</x:f>
        <x:v>33592</x:v>
      </x:c>
      <x:c r="O235" s="26" t="n">
        <x:f>N235*(1-M235)</x:f>
        <x:v>33592</x:v>
      </x:c>
      <x:c r="P235" s="26" t="n">
        <x:v>7142</x:v>
      </x:c>
      <x:c r="Q235" s="26" t="n">
        <x:f>K235*P235</x:f>
        <x:v>28568</x:v>
      </x:c>
      <x:c r="R235" s="26" t="n">
        <x:f>O235-Q235</x:f>
        <x:v>5024</x:v>
      </x:c>
      <x:c r="S235" s="28" t="n">
        <x:f>IF(O235=0,0,R235/O235)</x:f>
        <x:v>0.1495594189092641</x:v>
      </x:c>
      <x:c r="T235" s="25" t="str">
        <x:v>Bank Transfer</x:v>
      </x:c>
      <x:c r="U235" s="25" t="str">
        <x:v>Completed</x:v>
      </x:c>
      <x:c r="V235" s="29" t="n">
        <x:v>4</x:v>
      </x:c>
    </x:row>
    <x:row r="236">
      <x:c r="A236" s="23" t="str">
        <x:v>MAN-2025-00235</x:v>
      </x:c>
      <x:c r="B236" s="24" t="n">
        <x:v>45792</x:v>
      </x:c>
      <x:c r="C236" s="25" t="str">
        <x:v>Mansoura</x:v>
      </x:c>
      <x:c r="D236" s="25" t="str">
        <x:v>Mansoura City</x:v>
      </x:c>
      <x:c r="E236" s="25" t="str">
        <x:v>Ali Sayed</x:v>
      </x:c>
      <x:c r="F236" s="25" t="str">
        <x:v>Omar Nasser</x:v>
      </x:c>
      <x:c r="G236" s="25" t="str">
        <x:v>Consumer</x:v>
      </x:c>
      <x:c r="H236" s="25" t="str">
        <x:v>Website</x:v>
      </x:c>
      <x:c r="I236" s="25" t="str">
        <x:v>Home Appliances</x:v>
      </x:c>
      <x:c r="J236" s="25" t="str">
        <x:v>Microwave</x:v>
      </x:c>
      <x:c r="K236" s="25" t="n">
        <x:v>2</x:v>
      </x:c>
      <x:c r="L236" s="26" t="n">
        <x:v>5869</x:v>
      </x:c>
      <x:c r="M236" s="27" t="n">
        <x:v>0.1</x:v>
      </x:c>
      <x:c r="N236" s="26" t="n">
        <x:f>K236*L236</x:f>
        <x:v>11738</x:v>
      </x:c>
      <x:c r="O236" s="26" t="n">
        <x:f>N236*(1-M236)</x:f>
        <x:v>10564.2</x:v>
      </x:c>
      <x:c r="P236" s="26" t="n">
        <x:v>4324</x:v>
      </x:c>
      <x:c r="Q236" s="26" t="n">
        <x:f>K236*P236</x:f>
        <x:v>8648</x:v>
      </x:c>
      <x:c r="R236" s="26" t="n">
        <x:f>O236-Q236</x:f>
        <x:v>1916.2000000000007</x:v>
      </x:c>
      <x:c r="S236" s="28" t="n">
        <x:f>IF(O236=0,0,R236/O236)</x:f>
        <x:v>0.1813861910982375</x:v>
      </x:c>
      <x:c r="T236" s="25" t="str">
        <x:v>Cash</x:v>
      </x:c>
      <x:c r="U236" s="25" t="str">
        <x:v>Completed</x:v>
      </x:c>
      <x:c r="V236" s="29" t="n">
        <x:v>5</x:v>
      </x:c>
    </x:row>
    <x:row r="237">
      <x:c r="A237" s="23" t="str">
        <x:v>MAN-2025-00236</x:v>
      </x:c>
      <x:c r="B237" s="24" t="n">
        <x:v>45816</x:v>
      </x:c>
      <x:c r="C237" s="25" t="str">
        <x:v>Mansoura</x:v>
      </x:c>
      <x:c r="D237" s="25" t="str">
        <x:v>Mansoura City</x:v>
      </x:c>
      <x:c r="E237" s="25" t="str">
        <x:v>Aya Farouk</x:v>
      </x:c>
      <x:c r="F237" s="25" t="str">
        <x:v>Mahmoud Fathy</x:v>
      </x:c>
      <x:c r="G237" s="25" t="str">
        <x:v>Corporate</x:v>
      </x:c>
      <x:c r="H237" s="25" t="str">
        <x:v>Retail Store</x:v>
      </x:c>
      <x:c r="I237" s="25" t="str">
        <x:v>Home Appliances</x:v>
      </x:c>
      <x:c r="J237" s="25" t="str">
        <x:v>Air Conditioner</x:v>
      </x:c>
      <x:c r="K237" s="25" t="n">
        <x:v>6</x:v>
      </x:c>
      <x:c r="L237" s="26" t="n">
        <x:v>21604</x:v>
      </x:c>
      <x:c r="M237" s="27" t="n">
        <x:v>0.15</x:v>
      </x:c>
      <x:c r="N237" s="26" t="n">
        <x:f>K237*L237</x:f>
        <x:v>129624</x:v>
      </x:c>
      <x:c r="O237" s="26" t="n">
        <x:f>N237*(1-M237)</x:f>
        <x:v>110180.4</x:v>
      </x:c>
      <x:c r="P237" s="26" t="n">
        <x:v>18408</x:v>
      </x:c>
      <x:c r="Q237" s="26" t="n">
        <x:f>K237*P237</x:f>
        <x:v>110448</x:v>
      </x:c>
      <x:c r="R237" s="26" t="n">
        <x:f>O237-Q237</x:f>
        <x:v>-267.6000000000058</x:v>
      </x:c>
      <x:c r="S237" s="28" t="n">
        <x:f>IF(O237=0,0,R237/O237)</x:f>
        <x:v>-0.0024287441323502714</x:v>
      </x:c>
      <x:c r="T237" s="25" t="str">
        <x:v>Bank Transfer</x:v>
      </x:c>
      <x:c r="U237" s="25" t="str">
        <x:v>Completed</x:v>
      </x:c>
      <x:c r="V237" s="29" t="n">
        <x:v>4</x:v>
      </x:c>
    </x:row>
    <x:row r="238">
      <x:c r="A238" s="23" t="str">
        <x:v>MAN-2025-00237</x:v>
      </x:c>
      <x:c r="B238" s="24" t="n">
        <x:v>45826</x:v>
      </x:c>
      <x:c r="C238" s="25" t="str">
        <x:v>Mansoura</x:v>
      </x:c>
      <x:c r="D238" s="25" t="str">
        <x:v>Sherbin</x:v>
      </x:c>
      <x:c r="E238" s="25" t="str">
        <x:v>Ali Sayed</x:v>
      </x:c>
      <x:c r="F238" s="25" t="str">
        <x:v>Omar Khalil</x:v>
      </x:c>
      <x:c r="G238" s="25" t="str">
        <x:v>Consumer</x:v>
      </x:c>
      <x:c r="H238" s="25" t="str">
        <x:v>Retail Store</x:v>
      </x:c>
      <x:c r="I238" s="25" t="str">
        <x:v>Home Appliances</x:v>
      </x:c>
      <x:c r="J238" s="25" t="str">
        <x:v>Blender</x:v>
      </x:c>
      <x:c r="K238" s="25" t="n">
        <x:v>2</x:v>
      </x:c>
      <x:c r="L238" s="26" t="n">
        <x:v>1822</x:v>
      </x:c>
      <x:c r="M238" s="27" t="n">
        <x:v>0.05</x:v>
      </x:c>
      <x:c r="N238" s="26" t="n">
        <x:f>K238*L238</x:f>
        <x:v>3644</x:v>
      </x:c>
      <x:c r="O238" s="26" t="n">
        <x:f>N238*(1-M238)</x:f>
        <x:v>3461.7999999999997</x:v>
      </x:c>
      <x:c r="P238" s="26" t="n">
        <x:v>1290</x:v>
      </x:c>
      <x:c r="Q238" s="26" t="n">
        <x:f>K238*P238</x:f>
        <x:v>2580</x:v>
      </x:c>
      <x:c r="R238" s="26" t="n">
        <x:f>O238-Q238</x:f>
        <x:v>881.7999999999997</x:v>
      </x:c>
      <x:c r="S238" s="28" t="n">
        <x:f>IF(O238=0,0,R238/O238)</x:f>
        <x:v>0.254722976486221</x:v>
      </x:c>
      <x:c r="T238" s="25" t="str">
        <x:v>Cash</x:v>
      </x:c>
      <x:c r="U238" s="25" t="str">
        <x:v>Completed</x:v>
      </x:c>
      <x:c r="V238" s="29" t="n">
        <x:v>3</x:v>
      </x:c>
    </x:row>
    <x:row r="239">
      <x:c r="A239" s="23" t="str">
        <x:v>MAN-2025-00238</x:v>
      </x:c>
      <x:c r="B239" s="24" t="n">
        <x:v>45658</x:v>
      </x:c>
      <x:c r="C239" s="25" t="str">
        <x:v>Mansoura</x:v>
      </x:c>
      <x:c r="D239" s="25" t="str">
        <x:v>Mit Ghamr</x:v>
      </x:c>
      <x:c r="E239" s="25" t="str">
        <x:v>Ali Sayed</x:v>
      </x:c>
      <x:c r="F239" s="25" t="str">
        <x:v>Ali Ibrahim</x:v>
      </x:c>
      <x:c r="G239" s="25" t="str">
        <x:v>Consumer</x:v>
      </x:c>
      <x:c r="H239" s="25" t="str">
        <x:v>Retail Store</x:v>
      </x:c>
      <x:c r="I239" s="25" t="str">
        <x:v>Office Supplies</x:v>
      </x:c>
      <x:c r="J239" s="25" t="str">
        <x:v>Calculator</x:v>
      </x:c>
      <x:c r="K239" s="25" t="n">
        <x:v>2</x:v>
      </x:c>
      <x:c r="L239" s="26" t="n">
        <x:v>444</x:v>
      </x:c>
      <x:c r="M239" s="27" t="n">
        <x:v>0.05</x:v>
      </x:c>
      <x:c r="N239" s="26" t="n">
        <x:f>K239*L239</x:f>
        <x:v>888</x:v>
      </x:c>
      <x:c r="O239" s="26" t="n">
        <x:f>N239*(1-M239)</x:f>
        <x:v>843.5999999999999</x:v>
      </x:c>
      <x:c r="P239" s="26" t="n">
        <x:v>282</x:v>
      </x:c>
      <x:c r="Q239" s="26" t="n">
        <x:f>K239*P239</x:f>
        <x:v>564</x:v>
      </x:c>
      <x:c r="R239" s="26" t="n">
        <x:f>O239-Q239</x:f>
        <x:v>279.5999999999999</x:v>
      </x:c>
      <x:c r="S239" s="28" t="n">
        <x:f>IF(O239=0,0,R239/O239)</x:f>
        <x:v>0.3314366998577524</x:v>
      </x:c>
      <x:c r="T239" s="25" t="str">
        <x:v>Credit Card</x:v>
      </x:c>
      <x:c r="U239" s="25" t="str">
        <x:v>Completed</x:v>
      </x:c>
      <x:c r="V239" s="29" t="n">
        <x:v>4</x:v>
      </x:c>
    </x:row>
    <x:row r="240">
      <x:c r="A240" s="23" t="str">
        <x:v>MAN-2025-00239</x:v>
      </x:c>
      <x:c r="B240" s="24" t="n">
        <x:v>45794</x:v>
      </x:c>
      <x:c r="C240" s="25" t="str">
        <x:v>Mansoura</x:v>
      </x:c>
      <x:c r="D240" s="25" t="str">
        <x:v>Mit Ghamr</x:v>
      </x:c>
      <x:c r="E240" s="25" t="str">
        <x:v>Aya Farouk</x:v>
      </x:c>
      <x:c r="F240" s="25" t="str">
        <x:v>Karim Mansour</x:v>
      </x:c>
      <x:c r="G240" s="25" t="str">
        <x:v>Corporate</x:v>
      </x:c>
      <x:c r="H240" s="25" t="str">
        <x:v>Mobile App</x:v>
      </x:c>
      <x:c r="I240" s="25" t="str">
        <x:v>Home Appliances</x:v>
      </x:c>
      <x:c r="J240" s="25" t="str">
        <x:v>Microwave</x:v>
      </x:c>
      <x:c r="K240" s="25" t="n">
        <x:v>1</x:v>
      </x:c>
      <x:c r="L240" s="26" t="n">
        <x:v>5723</x:v>
      </x:c>
      <x:c r="M240" s="27" t="n">
        <x:v>0.05</x:v>
      </x:c>
      <x:c r="N240" s="26" t="n">
        <x:f>K240*L240</x:f>
        <x:v>5723</x:v>
      </x:c>
      <x:c r="O240" s="26" t="n">
        <x:f>N240*(1-M240)</x:f>
        <x:v>5436.849999999999</x:v>
      </x:c>
      <x:c r="P240" s="26" t="n">
        <x:v>4364</x:v>
      </x:c>
      <x:c r="Q240" s="26" t="n">
        <x:f>K240*P240</x:f>
        <x:v>4364</x:v>
      </x:c>
      <x:c r="R240" s="26" t="n">
        <x:f>O240-Q240</x:f>
        <x:v>1072.8499999999995</x:v>
      </x:c>
      <x:c r="S240" s="28" t="n">
        <x:f>IF(O240=0,0,R240/O240)</x:f>
        <x:v>0.19732933592061572</x:v>
      </x:c>
      <x:c r="T240" s="25" t="str">
        <x:v>Debit Card</x:v>
      </x:c>
      <x:c r="U240" s="25" t="str">
        <x:v>Completed</x:v>
      </x:c>
      <x:c r="V240" s="29" t="n">
        <x:v>5</x:v>
      </x:c>
    </x:row>
    <x:row r="241">
      <x:c r="A241" s="23" t="str">
        <x:v>MAN-2025-00240</x:v>
      </x:c>
      <x:c r="B241" s="24" t="n">
        <x:v>45855</x:v>
      </x:c>
      <x:c r="C241" s="25" t="str">
        <x:v>Mansoura</x:v>
      </x:c>
      <x:c r="D241" s="25" t="str">
        <x:v>Talkha</x:v>
      </x:c>
      <x:c r="E241" s="25" t="str">
        <x:v>Salma Mansour</x:v>
      </x:c>
      <x:c r="F241" s="25" t="str">
        <x:v>Mohamed Nasser</x:v>
      </x:c>
      <x:c r="G241" s="25" t="str">
        <x:v>Corporate</x:v>
      </x:c>
      <x:c r="H241" s="25" t="str">
        <x:v>Retail Store</x:v>
      </x:c>
      <x:c r="I241" s="25" t="str">
        <x:v>Electronics</x:v>
      </x:c>
      <x:c r="J241" s="25" t="str">
        <x:v>Tablet</x:v>
      </x:c>
      <x:c r="K241" s="25" t="n">
        <x:v>5</x:v>
      </x:c>
      <x:c r="L241" s="26" t="n">
        <x:v>8467</x:v>
      </x:c>
      <x:c r="M241" s="27" t="n">
        <x:v>0.1</x:v>
      </x:c>
      <x:c r="N241" s="26" t="n">
        <x:f>K241*L241</x:f>
        <x:v>42335</x:v>
      </x:c>
      <x:c r="O241" s="26" t="n">
        <x:f>N241*(1-M241)</x:f>
        <x:v>38101.5</x:v>
      </x:c>
      <x:c r="P241" s="26" t="n">
        <x:v>7370</x:v>
      </x:c>
      <x:c r="Q241" s="26" t="n">
        <x:f>K241*P241</x:f>
        <x:v>36850</x:v>
      </x:c>
      <x:c r="R241" s="26" t="n">
        <x:f>O241-Q241</x:f>
        <x:v>1251.5</x:v>
      </x:c>
      <x:c r="S241" s="28" t="n">
        <x:f>IF(O241=0,0,R241/O241)</x:f>
        <x:v>0.032846475860530425</x:v>
      </x:c>
      <x:c r="T241" s="25" t="str">
        <x:v>Debit Card</x:v>
      </x:c>
      <x:c r="U241" s="25" t="str">
        <x:v>Completed</x:v>
      </x:c>
      <x:c r="V241" s="29" t="n">
        <x:v>4</x:v>
      </x:c>
    </x:row>
    <x:row r="242">
      <x:c r="A242" s="23" t="str">
        <x:v>MAN-2025-00241</x:v>
      </x:c>
      <x:c r="B242" s="24" t="n">
        <x:v>45947</x:v>
      </x:c>
      <x:c r="C242" s="25" t="str">
        <x:v>Mansoura</x:v>
      </x:c>
      <x:c r="D242" s="25" t="str">
        <x:v>Sherbin</x:v>
      </x:c>
      <x:c r="E242" s="25" t="str">
        <x:v>Aya Farouk</x:v>
      </x:c>
      <x:c r="F242" s="25" t="str">
        <x:v>Aya Khalil</x:v>
      </x:c>
      <x:c r="G242" s="25" t="str">
        <x:v>Consumer</x:v>
      </x:c>
      <x:c r="H242" s="25" t="str">
        <x:v>Website</x:v>
      </x:c>
      <x:c r="I242" s="25" t="str">
        <x:v>Furniture</x:v>
      </x:c>
      <x:c r="J242" s="25" t="str">
        <x:v>Bookshelf</x:v>
      </x:c>
      <x:c r="K242" s="25" t="n">
        <x:v>5</x:v>
      </x:c>
      <x:c r="L242" s="26" t="n">
        <x:v>2977</x:v>
      </x:c>
      <x:c r="M242" s="27" t="n">
        <x:v>0.15</x:v>
      </x:c>
      <x:c r="N242" s="26" t="n">
        <x:f>K242*L242</x:f>
        <x:v>14885</x:v>
      </x:c>
      <x:c r="O242" s="26" t="n">
        <x:f>N242*(1-M242)</x:f>
        <x:v>12652.25</x:v>
      </x:c>
      <x:c r="P242" s="26" t="n">
        <x:v>2235</x:v>
      </x:c>
      <x:c r="Q242" s="26" t="n">
        <x:f>K242*P242</x:f>
        <x:v>11175</x:v>
      </x:c>
      <x:c r="R242" s="26" t="n">
        <x:f>O242-Q242</x:f>
        <x:v>1477.25</x:v>
      </x:c>
      <x:c r="S242" s="28" t="n">
        <x:f>IF(O242=0,0,R242/O242)</x:f>
        <x:v>0.11675788891303918</x:v>
      </x:c>
      <x:c r="T242" s="25" t="str">
        <x:v>Bank Transfer</x:v>
      </x:c>
      <x:c r="U242" s="25" t="str">
        <x:v>Completed</x:v>
      </x:c>
      <x:c r="V242" s="29" t="n">
        <x:v>5</x:v>
      </x:c>
    </x:row>
    <x:row r="243">
      <x:c r="A243" s="23" t="str">
        <x:v>MAN-2025-00242</x:v>
      </x:c>
      <x:c r="B243" s="24" t="n">
        <x:v>45725</x:v>
      </x:c>
      <x:c r="C243" s="25" t="str">
        <x:v>Mansoura</x:v>
      </x:c>
      <x:c r="D243" s="25" t="str">
        <x:v>Mansoura City</x:v>
      </x:c>
      <x:c r="E243" s="25" t="str">
        <x:v>Youssef Fathy</x:v>
      </x:c>
      <x:c r="F243" s="25" t="str">
        <x:v>Ali Mansour</x:v>
      </x:c>
      <x:c r="G243" s="25" t="str">
        <x:v>Consumer</x:v>
      </x:c>
      <x:c r="H243" s="25" t="str">
        <x:v>Retail Store</x:v>
      </x:c>
      <x:c r="I243" s="25" t="str">
        <x:v>Furniture</x:v>
      </x:c>
      <x:c r="J243" s="25" t="str">
        <x:v>Bookshelf</x:v>
      </x:c>
      <x:c r="K243" s="25" t="n">
        <x:v>6</x:v>
      </x:c>
      <x:c r="L243" s="26" t="n">
        <x:v>2916</x:v>
      </x:c>
      <x:c r="M243" s="27" t="n">
        <x:v>0.1</x:v>
      </x:c>
      <x:c r="N243" s="26" t="n">
        <x:f>K243*L243</x:f>
        <x:v>17496</x:v>
      </x:c>
      <x:c r="O243" s="26" t="n">
        <x:f>N243*(1-M243)</x:f>
        <x:v>15746.4</x:v>
      </x:c>
      <x:c r="P243" s="26" t="n">
        <x:v>2207</x:v>
      </x:c>
      <x:c r="Q243" s="26" t="n">
        <x:f>K243*P243</x:f>
        <x:v>13242</x:v>
      </x:c>
      <x:c r="R243" s="26" t="n">
        <x:f>O243-Q243</x:f>
        <x:v>2504.3999999999996</x:v>
      </x:c>
      <x:c r="S243" s="28" t="n">
        <x:f>IF(O243=0,0,R243/O243)</x:f>
        <x:v>0.15904587715287302</x:v>
      </x:c>
      <x:c r="T243" s="25" t="str">
        <x:v>Debit Card</x:v>
      </x:c>
      <x:c r="U243" s="25" t="str">
        <x:v>Completed</x:v>
      </x:c>
      <x:c r="V243" s="29" t="n">
        <x:v>5</x:v>
      </x:c>
    </x:row>
    <x:row r="244">
      <x:c r="A244" s="23" t="str">
        <x:v>MAN-2025-00243</x:v>
      </x:c>
      <x:c r="B244" s="24" t="n">
        <x:v>45999</x:v>
      </x:c>
      <x:c r="C244" s="25" t="str">
        <x:v>Mansoura</x:v>
      </x:c>
      <x:c r="D244" s="25" t="str">
        <x:v>Mansoura City</x:v>
      </x:c>
      <x:c r="E244" s="25" t="str">
        <x:v>Salma Mansour</x:v>
      </x:c>
      <x:c r="F244" s="25" t="str">
        <x:v>Aya Fathy</x:v>
      </x:c>
      <x:c r="G244" s="25" t="str">
        <x:v>Corporate</x:v>
      </x:c>
      <x:c r="H244" s="25" t="str">
        <x:v>Website</x:v>
      </x:c>
      <x:c r="I244" s="25" t="str">
        <x:v>Office Supplies</x:v>
      </x:c>
      <x:c r="J244" s="25" t="str">
        <x:v>Calculator</x:v>
      </x:c>
      <x:c r="K244" s="25" t="n">
        <x:v>1</x:v>
      </x:c>
      <x:c r="L244" s="26" t="n">
        <x:v>431</x:v>
      </x:c>
      <x:c r="M244" s="27" t="n">
        <x:v>0.15</x:v>
      </x:c>
      <x:c r="N244" s="26" t="n">
        <x:f>K244*L244</x:f>
        <x:v>431</x:v>
      </x:c>
      <x:c r="O244" s="26" t="n">
        <x:f>N244*(1-M244)</x:f>
        <x:v>366.34999999999997</x:v>
      </x:c>
      <x:c r="P244" s="26" t="n">
        <x:v>278</x:v>
      </x:c>
      <x:c r="Q244" s="26" t="n">
        <x:f>K244*P244</x:f>
        <x:v>278</x:v>
      </x:c>
      <x:c r="R244" s="26" t="n">
        <x:f>O244-Q244</x:f>
        <x:v>88.34999999999997</x:v>
      </x:c>
      <x:c r="S244" s="28" t="n">
        <x:f>IF(O244=0,0,R244/O244)</x:f>
        <x:v>0.24116282243755963</x:v>
      </x:c>
      <x:c r="T244" s="25" t="str">
        <x:v>Digital Wallet</x:v>
      </x:c>
      <x:c r="U244" s="25" t="str">
        <x:v>Cancelled</x:v>
      </x:c>
      <x:c r="V244" s="29" t="n">
        <x:v>5</x:v>
      </x:c>
    </x:row>
    <x:row r="245">
      <x:c r="A245" s="23" t="str">
        <x:v>MAN-2025-00244</x:v>
      </x:c>
      <x:c r="B245" s="24" t="n">
        <x:v>45712</x:v>
      </x:c>
      <x:c r="C245" s="25" t="str">
        <x:v>Mansoura</x:v>
      </x:c>
      <x:c r="D245" s="25" t="str">
        <x:v>Mansoura City</x:v>
      </x:c>
      <x:c r="E245" s="25" t="str">
        <x:v>Youssef Fathy</x:v>
      </x:c>
      <x:c r="F245" s="25" t="str">
        <x:v>Ahmed Mansour</x:v>
      </x:c>
      <x:c r="G245" s="25" t="str">
        <x:v>Corporate</x:v>
      </x:c>
      <x:c r="H245" s="25" t="str">
        <x:v>Mobile App</x:v>
      </x:c>
      <x:c r="I245" s="25" t="str">
        <x:v>Office Supplies</x:v>
      </x:c>
      <x:c r="J245" s="25" t="str">
        <x:v>Ink Cartridge</x:v>
      </x:c>
      <x:c r="K245" s="25" t="n">
        <x:v>4</x:v>
      </x:c>
      <x:c r="L245" s="26" t="n">
        <x:v>834</x:v>
      </x:c>
      <x:c r="M245" s="27" t="n">
        <x:v>0.15</x:v>
      </x:c>
      <x:c r="N245" s="26" t="n">
        <x:f>K245*L245</x:f>
        <x:v>3336</x:v>
      </x:c>
      <x:c r="O245" s="26" t="n">
        <x:f>N245*(1-M245)</x:f>
        <x:v>2835.6</x:v>
      </x:c>
      <x:c r="P245" s="26" t="n">
        <x:v>579</x:v>
      </x:c>
      <x:c r="Q245" s="26" t="n">
        <x:f>K245*P245</x:f>
        <x:v>2316</x:v>
      </x:c>
      <x:c r="R245" s="26" t="n">
        <x:f>O245-Q245</x:f>
        <x:v>519.5999999999999</x:v>
      </x:c>
      <x:c r="S245" s="28" t="n">
        <x:f>IF(O245=0,0,R245/O245)</x:f>
        <x:v>0.1832416419805332</x:v>
      </x:c>
      <x:c r="T245" s="25" t="str">
        <x:v>Cash</x:v>
      </x:c>
      <x:c r="U245" s="25" t="str">
        <x:v>Completed</x:v>
      </x:c>
      <x:c r="V245" s="29" t="n">
        <x:v>4</x:v>
      </x:c>
    </x:row>
    <x:row r="246">
      <x:c r="A246" s="23" t="str">
        <x:v>MAN-2025-00245</x:v>
      </x:c>
      <x:c r="B246" s="24" t="n">
        <x:v>45903</x:v>
      </x:c>
      <x:c r="C246" s="25" t="str">
        <x:v>Mansoura</x:v>
      </x:c>
      <x:c r="D246" s="25" t="str">
        <x:v>Talkha</x:v>
      </x:c>
      <x:c r="E246" s="25" t="str">
        <x:v>Ali Sayed</x:v>
      </x:c>
      <x:c r="F246" s="25" t="str">
        <x:v>Amr Ibrahim</x:v>
      </x:c>
      <x:c r="G246" s="25" t="str">
        <x:v>Small Business</x:v>
      </x:c>
      <x:c r="H246" s="25" t="str">
        <x:v>Website</x:v>
      </x:c>
      <x:c r="I246" s="25" t="str">
        <x:v>Office Supplies</x:v>
      </x:c>
      <x:c r="J246" s="25" t="str">
        <x:v>Printer</x:v>
      </x:c>
      <x:c r="K246" s="25" t="n">
        <x:v>3</x:v>
      </x:c>
      <x:c r="L246" s="26" t="n">
        <x:v>6526</x:v>
      </x:c>
      <x:c r="M246" s="27" t="n">
        <x:v>0</x:v>
      </x:c>
      <x:c r="N246" s="26" t="n">
        <x:f>K246*L246</x:f>
        <x:v>19578</x:v>
      </x:c>
      <x:c r="O246" s="26" t="n">
        <x:f>N246*(1-M246)</x:f>
        <x:v>19578</x:v>
      </x:c>
      <x:c r="P246" s="26" t="n">
        <x:v>5445</x:v>
      </x:c>
      <x:c r="Q246" s="26" t="n">
        <x:f>K246*P246</x:f>
        <x:v>16335</x:v>
      </x:c>
      <x:c r="R246" s="26" t="n">
        <x:f>O246-Q246</x:f>
        <x:v>3243</x:v>
      </x:c>
      <x:c r="S246" s="28" t="n">
        <x:f>IF(O246=0,0,R246/O246)</x:f>
        <x:v>0.1656451118602513</x:v>
      </x:c>
      <x:c r="T246" s="25" t="str">
        <x:v>Digital Wallet</x:v>
      </x:c>
      <x:c r="U246" s="25" t="str">
        <x:v>Completed</x:v>
      </x:c>
      <x:c r="V246" s="29" t="n">
        <x:v>3</x:v>
      </x:c>
    </x:row>
    <x:row r="247">
      <x:c r="A247" s="23" t="str">
        <x:v>MAN-2025-00246</x:v>
      </x:c>
      <x:c r="B247" s="24" t="n">
        <x:v>45956</x:v>
      </x:c>
      <x:c r="C247" s="25" t="str">
        <x:v>Mansoura</x:v>
      </x:c>
      <x:c r="D247" s="25" t="str">
        <x:v>Sherbin</x:v>
      </x:c>
      <x:c r="E247" s="25" t="str">
        <x:v>Aya Farouk</x:v>
      </x:c>
      <x:c r="F247" s="25" t="str">
        <x:v>Youssef Hassan</x:v>
      </x:c>
      <x:c r="G247" s="25" t="str">
        <x:v>Corporate</x:v>
      </x:c>
      <x:c r="H247" s="25" t="str">
        <x:v>Retail Store</x:v>
      </x:c>
      <x:c r="I247" s="25" t="str">
        <x:v>Office Supplies</x:v>
      </x:c>
      <x:c r="J247" s="25" t="str">
        <x:v>Calculator</x:v>
      </x:c>
      <x:c r="K247" s="25" t="n">
        <x:v>2</x:v>
      </x:c>
      <x:c r="L247" s="26" t="n">
        <x:v>419</x:v>
      </x:c>
      <x:c r="M247" s="27" t="n">
        <x:v>0</x:v>
      </x:c>
      <x:c r="N247" s="26" t="n">
        <x:f>K247*L247</x:f>
        <x:v>838</x:v>
      </x:c>
      <x:c r="O247" s="26" t="n">
        <x:f>N247*(1-M247)</x:f>
        <x:v>838</x:v>
      </x:c>
      <x:c r="P247" s="26" t="n">
        <x:v>286</x:v>
      </x:c>
      <x:c r="Q247" s="26" t="n">
        <x:f>K247*P247</x:f>
        <x:v>572</x:v>
      </x:c>
      <x:c r="R247" s="26" t="n">
        <x:f>O247-Q247</x:f>
        <x:v>266</x:v>
      </x:c>
      <x:c r="S247" s="28" t="n">
        <x:f>IF(O247=0,0,R247/O247)</x:f>
        <x:v>0.31742243436754175</x:v>
      </x:c>
      <x:c r="T247" s="25" t="str">
        <x:v>Digital Wallet</x:v>
      </x:c>
      <x:c r="U247" s="25" t="str">
        <x:v>Returned</x:v>
      </x:c>
      <x:c r="V247" s="29" t="n">
        <x:v>4</x:v>
      </x:c>
    </x:row>
    <x:row r="248">
      <x:c r="A248" s="23" t="str">
        <x:v>MAN-2025-00247</x:v>
      </x:c>
      <x:c r="B248" s="24" t="n">
        <x:v>45831</x:v>
      </x:c>
      <x:c r="C248" s="25" t="str">
        <x:v>Mansoura</x:v>
      </x:c>
      <x:c r="D248" s="25" t="str">
        <x:v>Sherbin</x:v>
      </x:c>
      <x:c r="E248" s="25" t="str">
        <x:v>Youssef Fathy</x:v>
      </x:c>
      <x:c r="F248" s="25" t="str">
        <x:v>Mostafa Farouk</x:v>
      </x:c>
      <x:c r="G248" s="25" t="str">
        <x:v>Corporate</x:v>
      </x:c>
      <x:c r="H248" s="25" t="str">
        <x:v>Retail Store</x:v>
      </x:c>
      <x:c r="I248" s="25" t="str">
        <x:v>Home Appliances</x:v>
      </x:c>
      <x:c r="J248" s="25" t="str">
        <x:v>Air Conditioner</x:v>
      </x:c>
      <x:c r="K248" s="25" t="n">
        <x:v>4</x:v>
      </x:c>
      <x:c r="L248" s="26" t="n">
        <x:v>21814</x:v>
      </x:c>
      <x:c r="M248" s="27" t="n">
        <x:v>0.1</x:v>
      </x:c>
      <x:c r="N248" s="26" t="n">
        <x:f>K248*L248</x:f>
        <x:v>87256</x:v>
      </x:c>
      <x:c r="O248" s="26" t="n">
        <x:f>N248*(1-M248)</x:f>
        <x:v>78530.40000000001</x:v>
      </x:c>
      <x:c r="P248" s="26" t="n">
        <x:v>17494</x:v>
      </x:c>
      <x:c r="Q248" s="26" t="n">
        <x:f>K248*P248</x:f>
        <x:v>69976</x:v>
      </x:c>
      <x:c r="R248" s="26" t="n">
        <x:f>O248-Q248</x:f>
        <x:v>8554.400000000009</x:v>
      </x:c>
      <x:c r="S248" s="28" t="n">
        <x:f>IF(O248=0,0,R248/O248)</x:f>
        <x:v>0.10893106363904943</x:v>
      </x:c>
      <x:c r="T248" s="25" t="str">
        <x:v>Bank Transfer</x:v>
      </x:c>
      <x:c r="U248" s="25" t="str">
        <x:v>Completed</x:v>
      </x:c>
      <x:c r="V248" s="29" t="n">
        <x:v>3</x:v>
      </x:c>
    </x:row>
    <x:row r="249">
      <x:c r="A249" s="23" t="str">
        <x:v>MAN-2025-00248</x:v>
      </x:c>
      <x:c r="B249" s="24" t="n">
        <x:v>45757</x:v>
      </x:c>
      <x:c r="C249" s="25" t="str">
        <x:v>Mansoura</x:v>
      </x:c>
      <x:c r="D249" s="25" t="str">
        <x:v>Sherbin</x:v>
      </x:c>
      <x:c r="E249" s="25" t="str">
        <x:v>Ali Sayed</x:v>
      </x:c>
      <x:c r="F249" s="25" t="str">
        <x:v>Amr Tarek</x:v>
      </x:c>
      <x:c r="G249" s="25" t="str">
        <x:v>Corporate</x:v>
      </x:c>
      <x:c r="H249" s="25" t="str">
        <x:v>Retail Store</x:v>
      </x:c>
      <x:c r="I249" s="25" t="str">
        <x:v>Home Appliances</x:v>
      </x:c>
      <x:c r="J249" s="25" t="str">
        <x:v>Blender</x:v>
      </x:c>
      <x:c r="K249" s="25" t="n">
        <x:v>5</x:v>
      </x:c>
      <x:c r="L249" s="26" t="n">
        <x:v>1684</x:v>
      </x:c>
      <x:c r="M249" s="27" t="n">
        <x:v>0</x:v>
      </x:c>
      <x:c r="N249" s="26" t="n">
        <x:f>K249*L249</x:f>
        <x:v>8420</x:v>
      </x:c>
      <x:c r="O249" s="26" t="n">
        <x:f>N249*(1-M249)</x:f>
        <x:v>8420</x:v>
      </x:c>
      <x:c r="P249" s="26" t="n">
        <x:v>1257</x:v>
      </x:c>
      <x:c r="Q249" s="26" t="n">
        <x:f>K249*P249</x:f>
        <x:v>6285</x:v>
      </x:c>
      <x:c r="R249" s="26" t="n">
        <x:f>O249-Q249</x:f>
        <x:v>2135</x:v>
      </x:c>
      <x:c r="S249" s="28" t="n">
        <x:f>IF(O249=0,0,R249/O249)</x:f>
        <x:v>0.25356294536817103</x:v>
      </x:c>
      <x:c r="T249" s="25" t="str">
        <x:v>Cash</x:v>
      </x:c>
      <x:c r="U249" s="25" t="str">
        <x:v>Returned</x:v>
      </x:c>
      <x:c r="V249" s="29" t="n">
        <x:v>5</x:v>
      </x:c>
    </x:row>
    <x:row r="250">
      <x:c r="A250" s="23" t="str">
        <x:v>MAN-2025-00249</x:v>
      </x:c>
      <x:c r="B250" s="24" t="n">
        <x:v>45833</x:v>
      </x:c>
      <x:c r="C250" s="25" t="str">
        <x:v>Mansoura</x:v>
      </x:c>
      <x:c r="D250" s="25" t="str">
        <x:v>Mit Ghamr</x:v>
      </x:c>
      <x:c r="E250" s="25" t="str">
        <x:v>Ali Sayed</x:v>
      </x:c>
      <x:c r="F250" s="25" t="str">
        <x:v>Karim Tarek</x:v>
      </x:c>
      <x:c r="G250" s="25" t="str">
        <x:v>Small Business</x:v>
      </x:c>
      <x:c r="H250" s="25" t="str">
        <x:v>Mobile App</x:v>
      </x:c>
      <x:c r="I250" s="25" t="str">
        <x:v>Electronics</x:v>
      </x:c>
      <x:c r="J250" s="25" t="str">
        <x:v>Smartphone</x:v>
      </x:c>
      <x:c r="K250" s="25" t="n">
        <x:v>6</x:v>
      </x:c>
      <x:c r="L250" s="26" t="n">
        <x:v>13244</x:v>
      </x:c>
      <x:c r="M250" s="27" t="n">
        <x:v>0.05</x:v>
      </x:c>
      <x:c r="N250" s="26" t="n">
        <x:f>K250*L250</x:f>
        <x:v>79464</x:v>
      </x:c>
      <x:c r="O250" s="26" t="n">
        <x:f>N250*(1-M250)</x:f>
        <x:v>75490.8</x:v>
      </x:c>
      <x:c r="P250" s="26" t="n">
        <x:v>10811</x:v>
      </x:c>
      <x:c r="Q250" s="26" t="n">
        <x:f>K250*P250</x:f>
        <x:v>64866</x:v>
      </x:c>
      <x:c r="R250" s="26" t="n">
        <x:f>O250-Q250</x:f>
        <x:v>10624.800000000003</x:v>
      </x:c>
      <x:c r="S250" s="28" t="n">
        <x:f>IF(O250=0,0,R250/O250)</x:f>
        <x:v>0.1407429779522803</x:v>
      </x:c>
      <x:c r="T250" s="25" t="str">
        <x:v>Cash</x:v>
      </x:c>
      <x:c r="U250" s="25" t="str">
        <x:v>Completed</x:v>
      </x:c>
      <x:c r="V250" s="29" t="n">
        <x:v>5</x:v>
      </x:c>
    </x:row>
    <x:row r="251">
      <x:c r="A251" s="23" t="str">
        <x:v>MAN-2025-00250</x:v>
      </x:c>
      <x:c r="B251" s="24" t="n">
        <x:v>45929</x:v>
      </x:c>
      <x:c r="C251" s="25" t="str">
        <x:v>Mansoura</x:v>
      </x:c>
      <x:c r="D251" s="25" t="str">
        <x:v>Aga</x:v>
      </x:c>
      <x:c r="E251" s="25" t="str">
        <x:v>Salma Mansour</x:v>
      </x:c>
      <x:c r="F251" s="25" t="str">
        <x:v>Karim Adel</x:v>
      </x:c>
      <x:c r="G251" s="25" t="str">
        <x:v>Consumer</x:v>
      </x:c>
      <x:c r="H251" s="25" t="str">
        <x:v>Retail Store</x:v>
      </x:c>
      <x:c r="I251" s="25" t="str">
        <x:v>Home Appliances</x:v>
      </x:c>
      <x:c r="J251" s="25" t="str">
        <x:v>Blender</x:v>
      </x:c>
      <x:c r="K251" s="25" t="n">
        <x:v>1</x:v>
      </x:c>
      <x:c r="L251" s="26" t="n">
        <x:v>1698</x:v>
      </x:c>
      <x:c r="M251" s="27" t="n">
        <x:v>0</x:v>
      </x:c>
      <x:c r="N251" s="26" t="n">
        <x:f>K251*L251</x:f>
        <x:v>1698</x:v>
      </x:c>
      <x:c r="O251" s="26" t="n">
        <x:f>N251*(1-M251)</x:f>
        <x:v>1698</x:v>
      </x:c>
      <x:c r="P251" s="26" t="n">
        <x:v>1252</x:v>
      </x:c>
      <x:c r="Q251" s="26" t="n">
        <x:f>K251*P251</x:f>
        <x:v>1252</x:v>
      </x:c>
      <x:c r="R251" s="26" t="n">
        <x:f>O251-Q251</x:f>
        <x:v>446</x:v>
      </x:c>
      <x:c r="S251" s="28" t="n">
        <x:f>IF(O251=0,0,R251/O251)</x:f>
        <x:v>0.2626619552414605</x:v>
      </x:c>
      <x:c r="T251" s="25" t="str">
        <x:v>Debit Card</x:v>
      </x:c>
      <x:c r="U251" s="25" t="str">
        <x:v>Completed</x:v>
      </x:c>
      <x:c r="V251" s="29" t="n">
        <x:v>3</x:v>
      </x:c>
    </x:row>
    <x:row r="252">
      <x:c r="A252" s="23" t="str">
        <x:v>MAN-2025-00251</x:v>
      </x:c>
      <x:c r="B252" s="24" t="n">
        <x:v>45680</x:v>
      </x:c>
      <x:c r="C252" s="25" t="str">
        <x:v>Mansoura</x:v>
      </x:c>
      <x:c r="D252" s="25" t="str">
        <x:v>Mansoura City</x:v>
      </x:c>
      <x:c r="E252" s="25" t="str">
        <x:v>Youssef Fathy</x:v>
      </x:c>
      <x:c r="F252" s="25" t="str">
        <x:v>Salma Gamal</x:v>
      </x:c>
      <x:c r="G252" s="25" t="str">
        <x:v>Consumer</x:v>
      </x:c>
      <x:c r="H252" s="25" t="str">
        <x:v>Mobile App</x:v>
      </x:c>
      <x:c r="I252" s="25" t="str">
        <x:v>Furniture</x:v>
      </x:c>
      <x:c r="J252" s="25" t="str">
        <x:v>Bookshelf</x:v>
      </x:c>
      <x:c r="K252" s="25" t="n">
        <x:v>6</x:v>
      </x:c>
      <x:c r="L252" s="26" t="n">
        <x:v>3202</x:v>
      </x:c>
      <x:c r="M252" s="27" t="n">
        <x:v>0</x:v>
      </x:c>
      <x:c r="N252" s="26" t="n">
        <x:f>K252*L252</x:f>
        <x:v>19212</x:v>
      </x:c>
      <x:c r="O252" s="26" t="n">
        <x:f>N252*(1-M252)</x:f>
        <x:v>19212</x:v>
      </x:c>
      <x:c r="P252" s="26" t="n">
        <x:v>2135</x:v>
      </x:c>
      <x:c r="Q252" s="26" t="n">
        <x:f>K252*P252</x:f>
        <x:v>12810</x:v>
      </x:c>
      <x:c r="R252" s="26" t="n">
        <x:f>O252-Q252</x:f>
        <x:v>6402</x:v>
      </x:c>
      <x:c r="S252" s="28" t="n">
        <x:f>IF(O252=0,0,R252/O252)</x:f>
        <x:v>0.33322923173016866</x:v>
      </x:c>
      <x:c r="T252" s="25" t="str">
        <x:v>Digital Wallet</x:v>
      </x:c>
      <x:c r="U252" s="25" t="str">
        <x:v>Completed</x:v>
      </x:c>
      <x:c r="V252" s="29" t="n">
        <x:v>5</x:v>
      </x:c>
    </x:row>
    <x:row r="253">
      <x:c r="A253" s="23" t="str">
        <x:v>MAN-2025-00252</x:v>
      </x:c>
      <x:c r="B253" s="24" t="n">
        <x:v>45867</x:v>
      </x:c>
      <x:c r="C253" s="25" t="str">
        <x:v>Mansoura</x:v>
      </x:c>
      <x:c r="D253" s="25" t="str">
        <x:v>Talkha</x:v>
      </x:c>
      <x:c r="E253" s="25" t="str">
        <x:v>Ali Sayed</x:v>
      </x:c>
      <x:c r="F253" s="25" t="str">
        <x:v>Nour Mansour</x:v>
      </x:c>
      <x:c r="G253" s="25" t="str">
        <x:v>Corporate</x:v>
      </x:c>
      <x:c r="H253" s="25" t="str">
        <x:v>Retail Store</x:v>
      </x:c>
      <x:c r="I253" s="25" t="str">
        <x:v>Office Supplies</x:v>
      </x:c>
      <x:c r="J253" s="25" t="str">
        <x:v>Ink Cartridge</x:v>
      </x:c>
      <x:c r="K253" s="25" t="n">
        <x:v>4</x:v>
      </x:c>
      <x:c r="L253" s="26" t="n">
        <x:v>858</x:v>
      </x:c>
      <x:c r="M253" s="27" t="n">
        <x:v>0.1</x:v>
      </x:c>
      <x:c r="N253" s="26" t="n">
        <x:f>K253*L253</x:f>
        <x:v>3432</x:v>
      </x:c>
      <x:c r="O253" s="26" t="n">
        <x:f>N253*(1-M253)</x:f>
        <x:v>3088.8</x:v>
      </x:c>
      <x:c r="P253" s="26" t="n">
        <x:v>583</x:v>
      </x:c>
      <x:c r="Q253" s="26" t="n">
        <x:f>K253*P253</x:f>
        <x:v>2332</x:v>
      </x:c>
      <x:c r="R253" s="26" t="n">
        <x:f>O253-Q253</x:f>
        <x:v>756.8000000000002</x:v>
      </x:c>
      <x:c r="S253" s="28" t="n">
        <x:f>IF(O253=0,0,R253/O253)</x:f>
        <x:v>0.24501424501424507</x:v>
      </x:c>
      <x:c r="T253" s="25" t="str">
        <x:v>Cash</x:v>
      </x:c>
      <x:c r="U253" s="25" t="str">
        <x:v>Completed</x:v>
      </x:c>
      <x:c r="V253" s="29" t="n">
        <x:v>4</x:v>
      </x:c>
    </x:row>
    <x:row r="254">
      <x:c r="A254" s="23" t="str">
        <x:v>MAN-2025-00253</x:v>
      </x:c>
      <x:c r="B254" s="24" t="n">
        <x:v>45927</x:v>
      </x:c>
      <x:c r="C254" s="25" t="str">
        <x:v>Mansoura</x:v>
      </x:c>
      <x:c r="D254" s="25" t="str">
        <x:v>Mit Ghamr</x:v>
      </x:c>
      <x:c r="E254" s="25" t="str">
        <x:v>Ali Sayed</x:v>
      </x:c>
      <x:c r="F254" s="25" t="str">
        <x:v>Sara Tarek</x:v>
      </x:c>
      <x:c r="G254" s="25" t="str">
        <x:v>Consumer</x:v>
      </x:c>
      <x:c r="H254" s="25" t="str">
        <x:v>Retail Store</x:v>
      </x:c>
      <x:c r="I254" s="25" t="str">
        <x:v>Office Supplies</x:v>
      </x:c>
      <x:c r="J254" s="25" t="str">
        <x:v>Printer</x:v>
      </x:c>
      <x:c r="K254" s="25" t="n">
        <x:v>3</x:v>
      </x:c>
      <x:c r="L254" s="26" t="n">
        <x:v>6693</x:v>
      </x:c>
      <x:c r="M254" s="27" t="n">
        <x:v>0.05</x:v>
      </x:c>
      <x:c r="N254" s="26" t="n">
        <x:f>K254*L254</x:f>
        <x:v>20079</x:v>
      </x:c>
      <x:c r="O254" s="26" t="n">
        <x:f>N254*(1-M254)</x:f>
        <x:v>19075.05</x:v>
      </x:c>
      <x:c r="P254" s="26" t="n">
        <x:v>5332</x:v>
      </x:c>
      <x:c r="Q254" s="26" t="n">
        <x:f>K254*P254</x:f>
        <x:v>15996</x:v>
      </x:c>
      <x:c r="R254" s="26" t="n">
        <x:f>O254-Q254</x:f>
        <x:v>3079.0499999999993</x:v>
      </x:c>
      <x:c r="S254" s="28" t="n">
        <x:f>IF(O254=0,0,R254/O254)</x:f>
        <x:v>0.16141766338751404</x:v>
      </x:c>
      <x:c r="T254" s="25" t="str">
        <x:v>Digital Wallet</x:v>
      </x:c>
      <x:c r="U254" s="25" t="str">
        <x:v>Completed</x:v>
      </x:c>
      <x:c r="V254" s="29" t="n">
        <x:v>4</x:v>
      </x:c>
    </x:row>
    <x:row r="255">
      <x:c r="A255" s="23" t="str">
        <x:v>MAN-2025-00254</x:v>
      </x:c>
      <x:c r="B255" s="24" t="n">
        <x:v>45659</x:v>
      </x:c>
      <x:c r="C255" s="25" t="str">
        <x:v>Mansoura</x:v>
      </x:c>
      <x:c r="D255" s="25" t="str">
        <x:v>Mit Ghamr</x:v>
      </x:c>
      <x:c r="E255" s="25" t="str">
        <x:v>Aya Farouk</x:v>
      </x:c>
      <x:c r="F255" s="25" t="str">
        <x:v>Ali Gamal</x:v>
      </x:c>
      <x:c r="G255" s="25" t="str">
        <x:v>Small Business</x:v>
      </x:c>
      <x:c r="H255" s="25" t="str">
        <x:v>Mobile App</x:v>
      </x:c>
      <x:c r="I255" s="25" t="str">
        <x:v>Electronics</x:v>
      </x:c>
      <x:c r="J255" s="25" t="str">
        <x:v>Smartphone</x:v>
      </x:c>
      <x:c r="K255" s="25" t="n">
        <x:v>2</x:v>
      </x:c>
      <x:c r="L255" s="26" t="n">
        <x:v>13393</x:v>
      </x:c>
      <x:c r="M255" s="27" t="n">
        <x:v>0.15</x:v>
      </x:c>
      <x:c r="N255" s="26" t="n">
        <x:f>K255*L255</x:f>
        <x:v>26786</x:v>
      </x:c>
      <x:c r="O255" s="26" t="n">
        <x:f>N255*(1-M255)</x:f>
        <x:v>22768.1</x:v>
      </x:c>
      <x:c r="P255" s="26" t="n">
        <x:v>10932</x:v>
      </x:c>
      <x:c r="Q255" s="26" t="n">
        <x:f>K255*P255</x:f>
        <x:v>21864</x:v>
      </x:c>
      <x:c r="R255" s="26" t="n">
        <x:f>O255-Q255</x:f>
        <x:v>904.0999999999985</x:v>
      </x:c>
      <x:c r="S255" s="28" t="n">
        <x:f>IF(O255=0,0,R255/O255)</x:f>
        <x:v>0.039709066632700955</x:v>
      </x:c>
      <x:c r="T255" s="25" t="str">
        <x:v>Credit Card</x:v>
      </x:c>
      <x:c r="U255" s="25" t="str">
        <x:v>Returned</x:v>
      </x:c>
      <x:c r="V255" s="29" t="n">
        <x:v>5</x:v>
      </x:c>
    </x:row>
    <x:row r="256">
      <x:c r="A256" s="23" t="str">
        <x:v>MAN-2025-00255</x:v>
      </x:c>
      <x:c r="B256" s="24" t="n">
        <x:v>45804</x:v>
      </x:c>
      <x:c r="C256" s="25" t="str">
        <x:v>Mansoura</x:v>
      </x:c>
      <x:c r="D256" s="25" t="str">
        <x:v>Aga</x:v>
      </x:c>
      <x:c r="E256" s="25" t="str">
        <x:v>Ali Sayed</x:v>
      </x:c>
      <x:c r="F256" s="25" t="str">
        <x:v>Ahmed Farouk</x:v>
      </x:c>
      <x:c r="G256" s="25" t="str">
        <x:v>Small Business</x:v>
      </x:c>
      <x:c r="H256" s="25" t="str">
        <x:v>Website</x:v>
      </x:c>
      <x:c r="I256" s="25" t="str">
        <x:v>Electronics</x:v>
      </x:c>
      <x:c r="J256" s="25" t="str">
        <x:v>Laptop</x:v>
      </x:c>
      <x:c r="K256" s="25" t="n">
        <x:v>6</x:v>
      </x:c>
      <x:c r="L256" s="26" t="n">
        <x:v>24855</x:v>
      </x:c>
      <x:c r="M256" s="27" t="n">
        <x:v>0.1</x:v>
      </x:c>
      <x:c r="N256" s="26" t="n">
        <x:f>K256*L256</x:f>
        <x:v>149130</x:v>
      </x:c>
      <x:c r="O256" s="26" t="n">
        <x:f>N256*(1-M256)</x:f>
        <x:v>134217</x:v>
      </x:c>
      <x:c r="P256" s="26" t="n">
        <x:v>20740</x:v>
      </x:c>
      <x:c r="Q256" s="26" t="n">
        <x:f>K256*P256</x:f>
        <x:v>124440</x:v>
      </x:c>
      <x:c r="R256" s="26" t="n">
        <x:f>O256-Q256</x:f>
        <x:v>9777</x:v>
      </x:c>
      <x:c r="S256" s="28" t="n">
        <x:f>IF(O256=0,0,R256/O256)</x:f>
        <x:v>0.07284472160754599</x:v>
      </x:c>
      <x:c r="T256" s="25" t="str">
        <x:v>Digital Wallet</x:v>
      </x:c>
      <x:c r="U256" s="25" t="str">
        <x:v>Cancelled</x:v>
      </x:c>
      <x:c r="V256" s="29" t="n">
        <x:v>4</x:v>
      </x:c>
    </x:row>
    <x:row r="257">
      <x:c r="A257" s="23" t="str">
        <x:v>MAN-2025-00256</x:v>
      </x:c>
      <x:c r="B257" s="24" t="n">
        <x:v>45993</x:v>
      </x:c>
      <x:c r="C257" s="25" t="str">
        <x:v>Mansoura</x:v>
      </x:c>
      <x:c r="D257" s="25" t="str">
        <x:v>Mit Ghamr</x:v>
      </x:c>
      <x:c r="E257" s="25" t="str">
        <x:v>Salma Mansour</x:v>
      </x:c>
      <x:c r="F257" s="25" t="str">
        <x:v>Hana Samir</x:v>
      </x:c>
      <x:c r="G257" s="25" t="str">
        <x:v>Consumer</x:v>
      </x:c>
      <x:c r="H257" s="25" t="str">
        <x:v>Mobile App</x:v>
      </x:c>
      <x:c r="I257" s="25" t="str">
        <x:v>Furniture</x:v>
      </x:c>
      <x:c r="J257" s="25" t="str">
        <x:v>Bookshelf</x:v>
      </x:c>
      <x:c r="K257" s="25" t="n">
        <x:v>3</x:v>
      </x:c>
      <x:c r="L257" s="26" t="n">
        <x:v>2834</x:v>
      </x:c>
      <x:c r="M257" s="27" t="n">
        <x:v>0.05</x:v>
      </x:c>
      <x:c r="N257" s="26" t="n">
        <x:f>K257*L257</x:f>
        <x:v>8502</x:v>
      </x:c>
      <x:c r="O257" s="26" t="n">
        <x:f>N257*(1-M257)</x:f>
        <x:v>8076.9</x:v>
      </x:c>
      <x:c r="P257" s="26" t="n">
        <x:v>2283</x:v>
      </x:c>
      <x:c r="Q257" s="26" t="n">
        <x:f>K257*P257</x:f>
        <x:v>6849</x:v>
      </x:c>
      <x:c r="R257" s="26" t="n">
        <x:f>O257-Q257</x:f>
        <x:v>1227.8999999999996</x:v>
      </x:c>
      <x:c r="S257" s="28" t="n">
        <x:f>IF(O257=0,0,R257/O257)</x:f>
        <x:v>0.15202614864613895</x:v>
      </x:c>
      <x:c r="T257" s="25" t="str">
        <x:v>Cash</x:v>
      </x:c>
      <x:c r="U257" s="25" t="str">
        <x:v>Completed</x:v>
      </x:c>
      <x:c r="V257" s="29" t="n">
        <x:v>5</x:v>
      </x:c>
    </x:row>
    <x:row r="258">
      <x:c r="A258" s="23" t="str">
        <x:v>MAN-2025-00257</x:v>
      </x:c>
      <x:c r="B258" s="24" t="n">
        <x:v>45718</x:v>
      </x:c>
      <x:c r="C258" s="25" t="str">
        <x:v>Mansoura</x:v>
      </x:c>
      <x:c r="D258" s="25" t="str">
        <x:v>Sherbin</x:v>
      </x:c>
      <x:c r="E258" s="25" t="str">
        <x:v>Aya Farouk</x:v>
      </x:c>
      <x:c r="F258" s="25" t="str">
        <x:v>Mahmoud Ibrahim</x:v>
      </x:c>
      <x:c r="G258" s="25" t="str">
        <x:v>Consumer</x:v>
      </x:c>
      <x:c r="H258" s="25" t="str">
        <x:v>Retail Store</x:v>
      </x:c>
      <x:c r="I258" s="25" t="str">
        <x:v>Home Appliances</x:v>
      </x:c>
      <x:c r="J258" s="25" t="str">
        <x:v>Air Conditioner</x:v>
      </x:c>
      <x:c r="K258" s="25" t="n">
        <x:v>5</x:v>
      </x:c>
      <x:c r="L258" s="26" t="n">
        <x:v>20949</x:v>
      </x:c>
      <x:c r="M258" s="27" t="n">
        <x:v>0.1</x:v>
      </x:c>
      <x:c r="N258" s="26" t="n">
        <x:f>K258*L258</x:f>
        <x:v>104745</x:v>
      </x:c>
      <x:c r="O258" s="26" t="n">
        <x:f>N258*(1-M258)</x:f>
        <x:v>94270.5</x:v>
      </x:c>
      <x:c r="P258" s="26" t="n">
        <x:v>17680</x:v>
      </x:c>
      <x:c r="Q258" s="26" t="n">
        <x:f>K258*P258</x:f>
        <x:v>88400</x:v>
      </x:c>
      <x:c r="R258" s="26" t="n">
        <x:f>O258-Q258</x:f>
        <x:v>5870.5</x:v>
      </x:c>
      <x:c r="S258" s="28" t="n">
        <x:f>IF(O258=0,0,R258/O258)</x:f>
        <x:v>0.062272927373886844</x:v>
      </x:c>
      <x:c r="T258" s="25" t="str">
        <x:v>Cash</x:v>
      </x:c>
      <x:c r="U258" s="25" t="str">
        <x:v>Completed</x:v>
      </x:c>
      <x:c r="V258" s="29" t="n">
        <x:v>4</x:v>
      </x:c>
    </x:row>
    <x:row r="259">
      <x:c r="A259" s="23" t="str">
        <x:v>MAN-2025-00258</x:v>
      </x:c>
      <x:c r="B259" s="24" t="n">
        <x:v>45873</x:v>
      </x:c>
      <x:c r="C259" s="25" t="str">
        <x:v>Mansoura</x:v>
      </x:c>
      <x:c r="D259" s="25" t="str">
        <x:v>Mit Ghamr</x:v>
      </x:c>
      <x:c r="E259" s="25" t="str">
        <x:v>Youssef Fathy</x:v>
      </x:c>
      <x:c r="F259" s="25" t="str">
        <x:v>Mariam Sayed</x:v>
      </x:c>
      <x:c r="G259" s="25" t="str">
        <x:v>Small Business</x:v>
      </x:c>
      <x:c r="H259" s="25" t="str">
        <x:v>Retail Store</x:v>
      </x:c>
      <x:c r="I259" s="25" t="str">
        <x:v>Furniture</x:v>
      </x:c>
      <x:c r="J259" s="25" t="str">
        <x:v>Desk</x:v>
      </x:c>
      <x:c r="K259" s="25" t="n">
        <x:v>3</x:v>
      </x:c>
      <x:c r="L259" s="26" t="n">
        <x:v>5038</x:v>
      </x:c>
      <x:c r="M259" s="27" t="n">
        <x:v>0.05</x:v>
      </x:c>
      <x:c r="N259" s="26" t="n">
        <x:f>K259*L259</x:f>
        <x:v>15114</x:v>
      </x:c>
      <x:c r="O259" s="26" t="n">
        <x:f>N259*(1-M259)</x:f>
        <x:v>14358.3</x:v>
      </x:c>
      <x:c r="P259" s="26" t="n">
        <x:v>4047</x:v>
      </x:c>
      <x:c r="Q259" s="26" t="n">
        <x:f>K259*P259</x:f>
        <x:v>12141</x:v>
      </x:c>
      <x:c r="R259" s="26" t="n">
        <x:f>O259-Q259</x:f>
        <x:v>2217.2999999999993</x:v>
      </x:c>
      <x:c r="S259" s="28" t="n">
        <x:f>IF(O259=0,0,R259/O259)</x:f>
        <x:v>0.15442635966653429</x:v>
      </x:c>
      <x:c r="T259" s="25" t="str">
        <x:v>Cash</x:v>
      </x:c>
      <x:c r="U259" s="25" t="str">
        <x:v>Cancelled</x:v>
      </x:c>
      <x:c r="V259" s="29" t="n">
        <x:v>5</x:v>
      </x:c>
    </x:row>
    <x:row r="260">
      <x:c r="A260" s="23" t="str">
        <x:v>MAN-2025-00259</x:v>
      </x:c>
      <x:c r="B260" s="24" t="n">
        <x:v>45862</x:v>
      </x:c>
      <x:c r="C260" s="25" t="str">
        <x:v>Mansoura</x:v>
      </x:c>
      <x:c r="D260" s="25" t="str">
        <x:v>Aga</x:v>
      </x:c>
      <x:c r="E260" s="25" t="str">
        <x:v>Youssef Fathy</x:v>
      </x:c>
      <x:c r="F260" s="25" t="str">
        <x:v>Farah Fathy</x:v>
      </x:c>
      <x:c r="G260" s="25" t="str">
        <x:v>Consumer</x:v>
      </x:c>
      <x:c r="H260" s="25" t="str">
        <x:v>Mobile App</x:v>
      </x:c>
      <x:c r="I260" s="25" t="str">
        <x:v>Electronics</x:v>
      </x:c>
      <x:c r="J260" s="25" t="str">
        <x:v>Tablet</x:v>
      </x:c>
      <x:c r="K260" s="25" t="n">
        <x:v>4</x:v>
      </x:c>
      <x:c r="L260" s="26" t="n">
        <x:v>8402</x:v>
      </x:c>
      <x:c r="M260" s="27" t="n">
        <x:v>0</x:v>
      </x:c>
      <x:c r="N260" s="26" t="n">
        <x:f>K260*L260</x:f>
        <x:v>33608</x:v>
      </x:c>
      <x:c r="O260" s="26" t="n">
        <x:f>N260*(1-M260)</x:f>
        <x:v>33608</x:v>
      </x:c>
      <x:c r="P260" s="26" t="n">
        <x:v>7535</x:v>
      </x:c>
      <x:c r="Q260" s="26" t="n">
        <x:f>K260*P260</x:f>
        <x:v>30140</x:v>
      </x:c>
      <x:c r="R260" s="26" t="n">
        <x:f>O260-Q260</x:f>
        <x:v>3468</x:v>
      </x:c>
      <x:c r="S260" s="28" t="n">
        <x:f>IF(O260=0,0,R260/O260)</x:f>
        <x:v>0.10318971673411093</x:v>
      </x:c>
      <x:c r="T260" s="25" t="str">
        <x:v>Debit Card</x:v>
      </x:c>
      <x:c r="U260" s="25" t="str">
        <x:v>Completed</x:v>
      </x:c>
      <x:c r="V260" s="29" t="n">
        <x:v>5</x:v>
      </x:c>
    </x:row>
    <x:row r="261">
      <x:c r="A261" s="23" t="str">
        <x:v>MAN-2025-00260</x:v>
      </x:c>
      <x:c r="B261" s="24" t="n">
        <x:v>45719</x:v>
      </x:c>
      <x:c r="C261" s="25" t="str">
        <x:v>Mansoura</x:v>
      </x:c>
      <x:c r="D261" s="25" t="str">
        <x:v>Mit Ghamr</x:v>
      </x:c>
      <x:c r="E261" s="25" t="str">
        <x:v>Youssef Fathy</x:v>
      </x:c>
      <x:c r="F261" s="25" t="str">
        <x:v>Aya Khalil</x:v>
      </x:c>
      <x:c r="G261" s="25" t="str">
        <x:v>Small Business</x:v>
      </x:c>
      <x:c r="H261" s="25" t="str">
        <x:v>Retail Store</x:v>
      </x:c>
      <x:c r="I261" s="25" t="str">
        <x:v>Office Supplies</x:v>
      </x:c>
      <x:c r="J261" s="25" t="str">
        <x:v>Calculator</x:v>
      </x:c>
      <x:c r="K261" s="25" t="n">
        <x:v>4</x:v>
      </x:c>
      <x:c r="L261" s="26" t="n">
        <x:v>420</x:v>
      </x:c>
      <x:c r="M261" s="27" t="n">
        <x:v>0.05</x:v>
      </x:c>
      <x:c r="N261" s="26" t="n">
        <x:f>K261*L261</x:f>
        <x:v>1680</x:v>
      </x:c>
      <x:c r="O261" s="26" t="n">
        <x:f>N261*(1-M261)</x:f>
        <x:v>1596</x:v>
      </x:c>
      <x:c r="P261" s="26" t="n">
        <x:v>294</x:v>
      </x:c>
      <x:c r="Q261" s="26" t="n">
        <x:f>K261*P261</x:f>
        <x:v>1176</x:v>
      </x:c>
      <x:c r="R261" s="26" t="n">
        <x:f>O261-Q261</x:f>
        <x:v>420</x:v>
      </x:c>
      <x:c r="S261" s="28" t="n">
        <x:f>IF(O261=0,0,R261/O261)</x:f>
        <x:v>0.2631578947368421</x:v>
      </x:c>
      <x:c r="T261" s="25" t="str">
        <x:v>Credit Card</x:v>
      </x:c>
      <x:c r="U261" s="25" t="str">
        <x:v>Completed</x:v>
      </x:c>
      <x:c r="V261" s="29" t="n">
        <x:v>5</x:v>
      </x:c>
    </x:row>
    <x:row r="262">
      <x:c r="A262" s="23" t="str">
        <x:v>MAN-2025-00261</x:v>
      </x:c>
      <x:c r="B262" s="24" t="n">
        <x:v>45813</x:v>
      </x:c>
      <x:c r="C262" s="25" t="str">
        <x:v>Mansoura</x:v>
      </x:c>
      <x:c r="D262" s="25" t="str">
        <x:v>Talkha</x:v>
      </x:c>
      <x:c r="E262" s="25" t="str">
        <x:v>Salma Mansour</x:v>
      </x:c>
      <x:c r="F262" s="25" t="str">
        <x:v>Sara Samir</x:v>
      </x:c>
      <x:c r="G262" s="25" t="str">
        <x:v>Consumer</x:v>
      </x:c>
      <x:c r="H262" s="25" t="str">
        <x:v>Retail Store</x:v>
      </x:c>
      <x:c r="I262" s="25" t="str">
        <x:v>Electronics</x:v>
      </x:c>
      <x:c r="J262" s="25" t="str">
        <x:v>Tablet</x:v>
      </x:c>
      <x:c r="K262" s="25" t="n">
        <x:v>1</x:v>
      </x:c>
      <x:c r="L262" s="26" t="n">
        <x:v>8905</x:v>
      </x:c>
      <x:c r="M262" s="27" t="n">
        <x:v>0.05</x:v>
      </x:c>
      <x:c r="N262" s="26" t="n">
        <x:f>K262*L262</x:f>
        <x:v>8905</x:v>
      </x:c>
      <x:c r="O262" s="26" t="n">
        <x:f>N262*(1-M262)</x:f>
        <x:v>8459.75</x:v>
      </x:c>
      <x:c r="P262" s="26" t="n">
        <x:v>7455</x:v>
      </x:c>
      <x:c r="Q262" s="26" t="n">
        <x:f>K262*P262</x:f>
        <x:v>7455</x:v>
      </x:c>
      <x:c r="R262" s="26" t="n">
        <x:f>O262-Q262</x:f>
        <x:v>1004.75</x:v>
      </x:c>
      <x:c r="S262" s="28" t="n">
        <x:f>IF(O262=0,0,R262/O262)</x:f>
        <x:v>0.11876828511480836</x:v>
      </x:c>
      <x:c r="T262" s="25" t="str">
        <x:v>Cash</x:v>
      </x:c>
      <x:c r="U262" s="25" t="str">
        <x:v>Returned</x:v>
      </x:c>
      <x:c r="V262" s="29" t="n">
        <x:v>4</x:v>
      </x:c>
    </x:row>
    <x:row r="263">
      <x:c r="A263" s="23" t="str">
        <x:v>MAN-2025-00262</x:v>
      </x:c>
      <x:c r="B263" s="24" t="n">
        <x:v>45678</x:v>
      </x:c>
      <x:c r="C263" s="25" t="str">
        <x:v>Mansoura</x:v>
      </x:c>
      <x:c r="D263" s="25" t="str">
        <x:v>Mansoura City</x:v>
      </x:c>
      <x:c r="E263" s="25" t="str">
        <x:v>Ali Sayed</x:v>
      </x:c>
      <x:c r="F263" s="25" t="str">
        <x:v>Hana Gamal</x:v>
      </x:c>
      <x:c r="G263" s="25" t="str">
        <x:v>Small Business</x:v>
      </x:c>
      <x:c r="H263" s="25" t="str">
        <x:v>Retail Store</x:v>
      </x:c>
      <x:c r="I263" s="25" t="str">
        <x:v>Furniture</x:v>
      </x:c>
      <x:c r="J263" s="25" t="str">
        <x:v>Sofa</x:v>
      </x:c>
      <x:c r="K263" s="25" t="n">
        <x:v>2</x:v>
      </x:c>
      <x:c r="L263" s="26" t="n">
        <x:v>12666</x:v>
      </x:c>
      <x:c r="M263" s="27" t="n">
        <x:v>0.1</x:v>
      </x:c>
      <x:c r="N263" s="26" t="n">
        <x:f>K263*L263</x:f>
        <x:v>25332</x:v>
      </x:c>
      <x:c r="O263" s="26" t="n">
        <x:f>N263*(1-M263)</x:f>
        <x:v>22798.8</x:v>
      </x:c>
      <x:c r="P263" s="26" t="n">
        <x:v>10529</x:v>
      </x:c>
      <x:c r="Q263" s="26" t="n">
        <x:f>K263*P263</x:f>
        <x:v>21058</x:v>
      </x:c>
      <x:c r="R263" s="26" t="n">
        <x:f>O263-Q263</x:f>
        <x:v>1740.7999999999993</x:v>
      </x:c>
      <x:c r="S263" s="28" t="n">
        <x:f>IF(O263=0,0,R263/O263)</x:f>
        <x:v>0.07635489587171251</x:v>
      </x:c>
      <x:c r="T263" s="25" t="str">
        <x:v>Debit Card</x:v>
      </x:c>
      <x:c r="U263" s="25" t="str">
        <x:v>Completed</x:v>
      </x:c>
      <x:c r="V263" s="29" t="n">
        <x:v>4</x:v>
      </x:c>
    </x:row>
    <x:row r="264">
      <x:c r="A264" s="23" t="str">
        <x:v>MAN-2025-00263</x:v>
      </x:c>
      <x:c r="B264" s="24" t="n">
        <x:v>45880</x:v>
      </x:c>
      <x:c r="C264" s="25" t="str">
        <x:v>Mansoura</x:v>
      </x:c>
      <x:c r="D264" s="25" t="str">
        <x:v>Aga</x:v>
      </x:c>
      <x:c r="E264" s="25" t="str">
        <x:v>Ali Sayed</x:v>
      </x:c>
      <x:c r="F264" s="25" t="str">
        <x:v>Amr Khalil</x:v>
      </x:c>
      <x:c r="G264" s="25" t="str">
        <x:v>Consumer</x:v>
      </x:c>
      <x:c r="H264" s="25" t="str">
        <x:v>Website</x:v>
      </x:c>
      <x:c r="I264" s="25" t="str">
        <x:v>Home Appliances</x:v>
      </x:c>
      <x:c r="J264" s="25" t="str">
        <x:v>Microwave</x:v>
      </x:c>
      <x:c r="K264" s="25" t="n">
        <x:v>3</x:v>
      </x:c>
      <x:c r="L264" s="26" t="n">
        <x:v>5754</x:v>
      </x:c>
      <x:c r="M264" s="27" t="n">
        <x:v>0.05</x:v>
      </x:c>
      <x:c r="N264" s="26" t="n">
        <x:f>K264*L264</x:f>
        <x:v>17262</x:v>
      </x:c>
      <x:c r="O264" s="26" t="n">
        <x:f>N264*(1-M264)</x:f>
        <x:v>16398.899999999998</x:v>
      </x:c>
      <x:c r="P264" s="26" t="n">
        <x:v>4344</x:v>
      </x:c>
      <x:c r="Q264" s="26" t="n">
        <x:f>K264*P264</x:f>
        <x:v>13032</x:v>
      </x:c>
      <x:c r="R264" s="26" t="n">
        <x:f>O264-Q264</x:f>
        <x:v>3366.899999999998</x:v>
      </x:c>
      <x:c r="S264" s="28" t="n">
        <x:f>IF(O264=0,0,R264/O264)</x:f>
        <x:v>0.20531255145162164</x:v>
      </x:c>
      <x:c r="T264" s="25" t="str">
        <x:v>Cash</x:v>
      </x:c>
      <x:c r="U264" s="25" t="str">
        <x:v>Completed</x:v>
      </x:c>
      <x:c r="V264" s="29" t="n">
        <x:v>4</x:v>
      </x:c>
    </x:row>
    <x:row r="265">
      <x:c r="A265" s="23" t="str">
        <x:v>MAN-2025-00264</x:v>
      </x:c>
      <x:c r="B265" s="24" t="n">
        <x:v>45684</x:v>
      </x:c>
      <x:c r="C265" s="25" t="str">
        <x:v>Mansoura</x:v>
      </x:c>
      <x:c r="D265" s="25" t="str">
        <x:v>Mansoura City</x:v>
      </x:c>
      <x:c r="E265" s="25" t="str">
        <x:v>Youssef Fathy</x:v>
      </x:c>
      <x:c r="F265" s="25" t="str">
        <x:v>Mariam Sayed</x:v>
      </x:c>
      <x:c r="G265" s="25" t="str">
        <x:v>Consumer</x:v>
      </x:c>
      <x:c r="H265" s="25" t="str">
        <x:v>Retail Store</x:v>
      </x:c>
      <x:c r="I265" s="25" t="str">
        <x:v>Electronics</x:v>
      </x:c>
      <x:c r="J265" s="25" t="str">
        <x:v>Tablet</x:v>
      </x:c>
      <x:c r="K265" s="25" t="n">
        <x:v>5</x:v>
      </x:c>
      <x:c r="L265" s="26" t="n">
        <x:v>8506</x:v>
      </x:c>
      <x:c r="M265" s="27" t="n">
        <x:v>0.15</x:v>
      </x:c>
      <x:c r="N265" s="26" t="n">
        <x:f>K265*L265</x:f>
        <x:v>42530</x:v>
      </x:c>
      <x:c r="O265" s="26" t="n">
        <x:f>N265*(1-M265)</x:f>
        <x:v>36150.5</x:v>
      </x:c>
      <x:c r="P265" s="26" t="n">
        <x:v>7536</x:v>
      </x:c>
      <x:c r="Q265" s="26" t="n">
        <x:f>K265*P265</x:f>
        <x:v>37680</x:v>
      </x:c>
      <x:c r="R265" s="26" t="n">
        <x:f>O265-Q265</x:f>
        <x:v>-1529.5</x:v>
      </x:c>
      <x:c r="S265" s="28" t="n">
        <x:f>IF(O265=0,0,R265/O265)</x:f>
        <x:v>-0.042309235003665235</x:v>
      </x:c>
      <x:c r="T265" s="25" t="str">
        <x:v>Cash</x:v>
      </x:c>
      <x:c r="U265" s="25" t="str">
        <x:v>Completed</x:v>
      </x:c>
      <x:c r="V265" s="29" t="n">
        <x:v>5</x:v>
      </x:c>
    </x:row>
    <x:row r="266">
      <x:c r="A266" s="23" t="str">
        <x:v>MAN-2025-00265</x:v>
      </x:c>
      <x:c r="B266" s="24" t="n">
        <x:v>45969</x:v>
      </x:c>
      <x:c r="C266" s="25" t="str">
        <x:v>Mansoura</x:v>
      </x:c>
      <x:c r="D266" s="25" t="str">
        <x:v>Mansoura City</x:v>
      </x:c>
      <x:c r="E266" s="25" t="str">
        <x:v>Salma Mansour</x:v>
      </x:c>
      <x:c r="F266" s="25" t="str">
        <x:v>Aya Khalil</x:v>
      </x:c>
      <x:c r="G266" s="25" t="str">
        <x:v>Consumer</x:v>
      </x:c>
      <x:c r="H266" s="25" t="str">
        <x:v>Website</x:v>
      </x:c>
      <x:c r="I266" s="25" t="str">
        <x:v>Home Appliances</x:v>
      </x:c>
      <x:c r="J266" s="25" t="str">
        <x:v>Blender</x:v>
      </x:c>
      <x:c r="K266" s="25" t="n">
        <x:v>5</x:v>
      </x:c>
      <x:c r="L266" s="26" t="n">
        <x:v>1635</x:v>
      </x:c>
      <x:c r="M266" s="27" t="n">
        <x:v>0</x:v>
      </x:c>
      <x:c r="N266" s="26" t="n">
        <x:f>K266*L266</x:f>
        <x:v>8175</x:v>
      </x:c>
      <x:c r="O266" s="26" t="n">
        <x:f>N266*(1-M266)</x:f>
        <x:v>8175</x:v>
      </x:c>
      <x:c r="P266" s="26" t="n">
        <x:v>1242</x:v>
      </x:c>
      <x:c r="Q266" s="26" t="n">
        <x:f>K266*P266</x:f>
        <x:v>6210</x:v>
      </x:c>
      <x:c r="R266" s="26" t="n">
        <x:f>O266-Q266</x:f>
        <x:v>1965</x:v>
      </x:c>
      <x:c r="S266" s="28" t="n">
        <x:f>IF(O266=0,0,R266/O266)</x:f>
        <x:v>0.24036697247706423</x:v>
      </x:c>
      <x:c r="T266" s="25" t="str">
        <x:v>Digital Wallet</x:v>
      </x:c>
      <x:c r="U266" s="25" t="str">
        <x:v>Completed</x:v>
      </x:c>
      <x:c r="V266" s="29" t="n">
        <x:v>5</x:v>
      </x:c>
    </x:row>
    <x:row r="267">
      <x:c r="A267" s="23" t="str">
        <x:v>MAN-2025-00266</x:v>
      </x:c>
      <x:c r="B267" s="24" t="n">
        <x:v>45848</x:v>
      </x:c>
      <x:c r="C267" s="25" t="str">
        <x:v>Mansoura</x:v>
      </x:c>
      <x:c r="D267" s="25" t="str">
        <x:v>Mansoura City</x:v>
      </x:c>
      <x:c r="E267" s="25" t="str">
        <x:v>Salma Mansour</x:v>
      </x:c>
      <x:c r="F267" s="25" t="str">
        <x:v>Omar Ibrahim</x:v>
      </x:c>
      <x:c r="G267" s="25" t="str">
        <x:v>Consumer</x:v>
      </x:c>
      <x:c r="H267" s="25" t="str">
        <x:v>Phone Order</x:v>
      </x:c>
      <x:c r="I267" s="25" t="str">
        <x:v>Furniture</x:v>
      </x:c>
      <x:c r="J267" s="25" t="str">
        <x:v>Office Chair</x:v>
      </x:c>
      <x:c r="K267" s="25" t="n">
        <x:v>6</x:v>
      </x:c>
      <x:c r="L267" s="26" t="n">
        <x:v>3868</x:v>
      </x:c>
      <x:c r="M267" s="27" t="n">
        <x:v>0.1</x:v>
      </x:c>
      <x:c r="N267" s="26" t="n">
        <x:f>K267*L267</x:f>
        <x:v>23208</x:v>
      </x:c>
      <x:c r="O267" s="26" t="n">
        <x:f>N267*(1-M267)</x:f>
        <x:v>20887.2</x:v>
      </x:c>
      <x:c r="P267" s="26" t="n">
        <x:v>2913</x:v>
      </x:c>
      <x:c r="Q267" s="26" t="n">
        <x:f>K267*P267</x:f>
        <x:v>17478</x:v>
      </x:c>
      <x:c r="R267" s="26" t="n">
        <x:f>O267-Q267</x:f>
        <x:v>3409.2000000000007</x:v>
      </x:c>
      <x:c r="S267" s="28" t="n">
        <x:f>IF(O267=0,0,R267/O267)</x:f>
        <x:v>0.16321957945536025</x:v>
      </x:c>
      <x:c r="T267" s="25" t="str">
        <x:v>Debit Card</x:v>
      </x:c>
      <x:c r="U267" s="25" t="str">
        <x:v>Cancelled</x:v>
      </x:c>
      <x:c r="V267" s="29" t="n">
        <x:v>4</x:v>
      </x:c>
    </x:row>
    <x:row r="268">
      <x:c r="A268" s="23" t="str">
        <x:v>MAN-2025-00267</x:v>
      </x:c>
      <x:c r="B268" s="24" t="n">
        <x:v>45882</x:v>
      </x:c>
      <x:c r="C268" s="25" t="str">
        <x:v>Mansoura</x:v>
      </x:c>
      <x:c r="D268" s="25" t="str">
        <x:v>Aga</x:v>
      </x:c>
      <x:c r="E268" s="25" t="str">
        <x:v>Salma Mansour</x:v>
      </x:c>
      <x:c r="F268" s="25" t="str">
        <x:v>Farah Farouk</x:v>
      </x:c>
      <x:c r="G268" s="25" t="str">
        <x:v>Consumer</x:v>
      </x:c>
      <x:c r="H268" s="25" t="str">
        <x:v>Website</x:v>
      </x:c>
      <x:c r="I268" s="25" t="str">
        <x:v>Furniture</x:v>
      </x:c>
      <x:c r="J268" s="25" t="str">
        <x:v>Bookshelf</x:v>
      </x:c>
      <x:c r="K268" s="25" t="n">
        <x:v>2</x:v>
      </x:c>
      <x:c r="L268" s="26" t="n">
        <x:v>2989</x:v>
      </x:c>
      <x:c r="M268" s="27" t="n">
        <x:v>0</x:v>
      </x:c>
      <x:c r="N268" s="26" t="n">
        <x:f>K268*L268</x:f>
        <x:v>5978</x:v>
      </x:c>
      <x:c r="O268" s="26" t="n">
        <x:f>N268*(1-M268)</x:f>
        <x:v>5978</x:v>
      </x:c>
      <x:c r="P268" s="26" t="n">
        <x:v>2155</x:v>
      </x:c>
      <x:c r="Q268" s="26" t="n">
        <x:f>K268*P268</x:f>
        <x:v>4310</x:v>
      </x:c>
      <x:c r="R268" s="26" t="n">
        <x:f>O268-Q268</x:f>
        <x:v>1668</x:v>
      </x:c>
      <x:c r="S268" s="28" t="n">
        <x:f>IF(O268=0,0,R268/O268)</x:f>
        <x:v>0.2790230846436935</x:v>
      </x:c>
      <x:c r="T268" s="25" t="str">
        <x:v>Digital Wallet</x:v>
      </x:c>
      <x:c r="U268" s="25" t="str">
        <x:v>Returned</x:v>
      </x:c>
      <x:c r="V268" s="29" t="n">
        <x:v>5</x:v>
      </x:c>
    </x:row>
    <x:row r="269">
      <x:c r="A269" s="23" t="str">
        <x:v>MAN-2025-00268</x:v>
      </x:c>
      <x:c r="B269" s="24" t="n">
        <x:v>45785</x:v>
      </x:c>
      <x:c r="C269" s="25" t="str">
        <x:v>Mansoura</x:v>
      </x:c>
      <x:c r="D269" s="25" t="str">
        <x:v>Sherbin</x:v>
      </x:c>
      <x:c r="E269" s="25" t="str">
        <x:v>Aya Farouk</x:v>
      </x:c>
      <x:c r="F269" s="25" t="str">
        <x:v>Omar Mansour</x:v>
      </x:c>
      <x:c r="G269" s="25" t="str">
        <x:v>Small Business</x:v>
      </x:c>
      <x:c r="H269" s="25" t="str">
        <x:v>Phone Order</x:v>
      </x:c>
      <x:c r="I269" s="25" t="str">
        <x:v>Furniture</x:v>
      </x:c>
      <x:c r="J269" s="25" t="str">
        <x:v>Bookshelf</x:v>
      </x:c>
      <x:c r="K269" s="25" t="n">
        <x:v>3</x:v>
      </x:c>
      <x:c r="L269" s="26" t="n">
        <x:v>3080</x:v>
      </x:c>
      <x:c r="M269" s="27" t="n">
        <x:v>0.15</x:v>
      </x:c>
      <x:c r="N269" s="26" t="n">
        <x:f>K269*L269</x:f>
        <x:v>9240</x:v>
      </x:c>
      <x:c r="O269" s="26" t="n">
        <x:f>N269*(1-M269)</x:f>
        <x:v>7854</x:v>
      </x:c>
      <x:c r="P269" s="26" t="n">
        <x:v>2220</x:v>
      </x:c>
      <x:c r="Q269" s="26" t="n">
        <x:f>K269*P269</x:f>
        <x:v>6660</x:v>
      </x:c>
      <x:c r="R269" s="26" t="n">
        <x:f>O269-Q269</x:f>
        <x:v>1194</x:v>
      </x:c>
      <x:c r="S269" s="28" t="n">
        <x:f>IF(O269=0,0,R269/O269)</x:f>
        <x:v>0.1520244461420932</x:v>
      </x:c>
      <x:c r="T269" s="25" t="str">
        <x:v>Debit Card</x:v>
      </x:c>
      <x:c r="U269" s="25" t="str">
        <x:v>Completed</x:v>
      </x:c>
      <x:c r="V269" s="29" t="n">
        <x:v>4</x:v>
      </x:c>
    </x:row>
    <x:row r="270">
      <x:c r="A270" s="23" t="str">
        <x:v>MAN-2025-00269</x:v>
      </x:c>
      <x:c r="B270" s="24" t="n">
        <x:v>45905</x:v>
      </x:c>
      <x:c r="C270" s="25" t="str">
        <x:v>Mansoura</x:v>
      </x:c>
      <x:c r="D270" s="25" t="str">
        <x:v>Sherbin</x:v>
      </x:c>
      <x:c r="E270" s="25" t="str">
        <x:v>Aya Farouk</x:v>
      </x:c>
      <x:c r="F270" s="25" t="str">
        <x:v>Youssef Mansour</x:v>
      </x:c>
      <x:c r="G270" s="25" t="str">
        <x:v>Small Business</x:v>
      </x:c>
      <x:c r="H270" s="25" t="str">
        <x:v>Retail Store</x:v>
      </x:c>
      <x:c r="I270" s="25" t="str">
        <x:v>Furniture</x:v>
      </x:c>
      <x:c r="J270" s="25" t="str">
        <x:v>Desk</x:v>
      </x:c>
      <x:c r="K270" s="25" t="n">
        <x:v>4</x:v>
      </x:c>
      <x:c r="L270" s="26" t="n">
        <x:v>5299</x:v>
      </x:c>
      <x:c r="M270" s="27" t="n">
        <x:v>0.05</x:v>
      </x:c>
      <x:c r="N270" s="26" t="n">
        <x:f>K270*L270</x:f>
        <x:v>21196</x:v>
      </x:c>
      <x:c r="O270" s="26" t="n">
        <x:f>N270*(1-M270)</x:f>
        <x:v>20136.2</x:v>
      </x:c>
      <x:c r="P270" s="26" t="n">
        <x:v>4048</x:v>
      </x:c>
      <x:c r="Q270" s="26" t="n">
        <x:f>K270*P270</x:f>
        <x:v>16192</x:v>
      </x:c>
      <x:c r="R270" s="26" t="n">
        <x:f>O270-Q270</x:f>
        <x:v>3944.2000000000007</x:v>
      </x:c>
      <x:c r="S270" s="28" t="n">
        <x:f>IF(O270=0,0,R270/O270)</x:f>
        <x:v>0.19587608386885313</x:v>
      </x:c>
      <x:c r="T270" s="25" t="str">
        <x:v>Digital Wallet</x:v>
      </x:c>
      <x:c r="U270" s="25" t="str">
        <x:v>Returned</x:v>
      </x:c>
      <x:c r="V270" s="29" t="n">
        <x:v>5</x:v>
      </x:c>
    </x:row>
    <x:row r="271">
      <x:c r="A271" s="23" t="str">
        <x:v>MAN-2025-00270</x:v>
      </x:c>
      <x:c r="B271" s="24" t="n">
        <x:v>45932</x:v>
      </x:c>
      <x:c r="C271" s="25" t="str">
        <x:v>Mansoura</x:v>
      </x:c>
      <x:c r="D271" s="25" t="str">
        <x:v>Sherbin</x:v>
      </x:c>
      <x:c r="E271" s="25" t="str">
        <x:v>Aya Farouk</x:v>
      </x:c>
      <x:c r="F271" s="25" t="str">
        <x:v>Mohamed Khalil</x:v>
      </x:c>
      <x:c r="G271" s="25" t="str">
        <x:v>Corporate</x:v>
      </x:c>
      <x:c r="H271" s="25" t="str">
        <x:v>Website</x:v>
      </x:c>
      <x:c r="I271" s="25" t="str">
        <x:v>Electronics</x:v>
      </x:c>
      <x:c r="J271" s="25" t="str">
        <x:v>Laptop</x:v>
      </x:c>
      <x:c r="K271" s="25" t="n">
        <x:v>2</x:v>
      </x:c>
      <x:c r="L271" s="26" t="n">
        <x:v>24385</x:v>
      </x:c>
      <x:c r="M271" s="27" t="n">
        <x:v>0</x:v>
      </x:c>
      <x:c r="N271" s="26" t="n">
        <x:f>K271*L271</x:f>
        <x:v>48770</x:v>
      </x:c>
      <x:c r="O271" s="26" t="n">
        <x:f>N271*(1-M271)</x:f>
        <x:v>48770</x:v>
      </x:c>
      <x:c r="P271" s="26" t="n">
        <x:v>20968</x:v>
      </x:c>
      <x:c r="Q271" s="26" t="n">
        <x:f>K271*P271</x:f>
        <x:v>41936</x:v>
      </x:c>
      <x:c r="R271" s="26" t="n">
        <x:f>O271-Q271</x:f>
        <x:v>6834</x:v>
      </x:c>
      <x:c r="S271" s="28" t="n">
        <x:f>IF(O271=0,0,R271/O271)</x:f>
        <x:v>0.14012712733237645</x:v>
      </x:c>
      <x:c r="T271" s="25" t="str">
        <x:v>Bank Transfer</x:v>
      </x:c>
      <x:c r="U271" s="25" t="str">
        <x:v>Cancelled</x:v>
      </x:c>
      <x:c r="V271" s="29" t="n">
        <x:v>5</x:v>
      </x:c>
    </x:row>
    <x:row r="272">
      <x:c r="A272" s="23" t="str">
        <x:v>MAN-2025-00271</x:v>
      </x:c>
      <x:c r="B272" s="24" t="n">
        <x:v>45891</x:v>
      </x:c>
      <x:c r="C272" s="25" t="str">
        <x:v>Mansoura</x:v>
      </x:c>
      <x:c r="D272" s="25" t="str">
        <x:v>Mit Ghamr</x:v>
      </x:c>
      <x:c r="E272" s="25" t="str">
        <x:v>Youssef Fathy</x:v>
      </x:c>
      <x:c r="F272" s="25" t="str">
        <x:v>Ahmed Khalil</x:v>
      </x:c>
      <x:c r="G272" s="25" t="str">
        <x:v>Consumer</x:v>
      </x:c>
      <x:c r="H272" s="25" t="str">
        <x:v>Website</x:v>
      </x:c>
      <x:c r="I272" s="25" t="str">
        <x:v>Home Appliances</x:v>
      </x:c>
      <x:c r="J272" s="25" t="str">
        <x:v>Microwave</x:v>
      </x:c>
      <x:c r="K272" s="25" t="n">
        <x:v>5</x:v>
      </x:c>
      <x:c r="L272" s="26" t="n">
        <x:v>5604</x:v>
      </x:c>
      <x:c r="M272" s="27" t="n">
        <x:v>0.15</x:v>
      </x:c>
      <x:c r="N272" s="26" t="n">
        <x:f>K272*L272</x:f>
        <x:v>28020</x:v>
      </x:c>
      <x:c r="O272" s="26" t="n">
        <x:f>N272*(1-M272)</x:f>
        <x:v>23817</x:v>
      </x:c>
      <x:c r="P272" s="26" t="n">
        <x:v>4454</x:v>
      </x:c>
      <x:c r="Q272" s="26" t="n">
        <x:f>K272*P272</x:f>
        <x:v>22270</x:v>
      </x:c>
      <x:c r="R272" s="26" t="n">
        <x:f>O272-Q272</x:f>
        <x:v>1547</x:v>
      </x:c>
      <x:c r="S272" s="28" t="n">
        <x:f>IF(O272=0,0,R272/O272)</x:f>
        <x:v>0.0649536045681656</x:v>
      </x:c>
      <x:c r="T272" s="25" t="str">
        <x:v>Debit Card</x:v>
      </x:c>
      <x:c r="U272" s="25" t="str">
        <x:v>Returned</x:v>
      </x:c>
      <x:c r="V272" s="29" t="n">
        <x:v>4</x:v>
      </x:c>
    </x:row>
    <x:row r="273">
      <x:c r="A273" s="23" t="str">
        <x:v>MAN-2025-00272</x:v>
      </x:c>
      <x:c r="B273" s="24" t="n">
        <x:v>45783</x:v>
      </x:c>
      <x:c r="C273" s="25" t="str">
        <x:v>Mansoura</x:v>
      </x:c>
      <x:c r="D273" s="25" t="str">
        <x:v>Sherbin</x:v>
      </x:c>
      <x:c r="E273" s="25" t="str">
        <x:v>Ali Sayed</x:v>
      </x:c>
      <x:c r="F273" s="25" t="str">
        <x:v>Mostafa Ibrahim</x:v>
      </x:c>
      <x:c r="G273" s="25" t="str">
        <x:v>Small Business</x:v>
      </x:c>
      <x:c r="H273" s="25" t="str">
        <x:v>Retail Store</x:v>
      </x:c>
      <x:c r="I273" s="25" t="str">
        <x:v>Electronics</x:v>
      </x:c>
      <x:c r="J273" s="25" t="str">
        <x:v>Smartphone</x:v>
      </x:c>
      <x:c r="K273" s="25" t="n">
        <x:v>3</x:v>
      </x:c>
      <x:c r="L273" s="26" t="n">
        <x:v>12793</x:v>
      </x:c>
      <x:c r="M273" s="27" t="n">
        <x:v>0.1</x:v>
      </x:c>
      <x:c r="N273" s="26" t="n">
        <x:f>K273*L273</x:f>
        <x:v>38379</x:v>
      </x:c>
      <x:c r="O273" s="26" t="n">
        <x:f>N273*(1-M273)</x:f>
        <x:v>34541.1</x:v>
      </x:c>
      <x:c r="P273" s="26" t="n">
        <x:v>10491</x:v>
      </x:c>
      <x:c r="Q273" s="26" t="n">
        <x:f>K273*P273</x:f>
        <x:v>31473</x:v>
      </x:c>
      <x:c r="R273" s="26" t="n">
        <x:f>O273-Q273</x:f>
        <x:v>3068.0999999999985</x:v>
      </x:c>
      <x:c r="S273" s="28" t="n">
        <x:f>IF(O273=0,0,R273/O273)</x:f>
        <x:v>0.08882461762943272</x:v>
      </x:c>
      <x:c r="T273" s="25" t="str">
        <x:v>Digital Wallet</x:v>
      </x:c>
      <x:c r="U273" s="25" t="str">
        <x:v>Completed</x:v>
      </x:c>
      <x:c r="V273" s="29" t="n">
        <x:v>5</x:v>
      </x:c>
    </x:row>
    <x:row r="274">
      <x:c r="A274" s="23" t="str">
        <x:v>MAN-2025-00273</x:v>
      </x:c>
      <x:c r="B274" s="24" t="n">
        <x:v>45873</x:v>
      </x:c>
      <x:c r="C274" s="25" t="str">
        <x:v>Mansoura</x:v>
      </x:c>
      <x:c r="D274" s="25" t="str">
        <x:v>Mit Ghamr</x:v>
      </x:c>
      <x:c r="E274" s="25" t="str">
        <x:v>Youssef Fathy</x:v>
      </x:c>
      <x:c r="F274" s="25" t="str">
        <x:v>Nour Samir</x:v>
      </x:c>
      <x:c r="G274" s="25" t="str">
        <x:v>Consumer</x:v>
      </x:c>
      <x:c r="H274" s="25" t="str">
        <x:v>Phone Order</x:v>
      </x:c>
      <x:c r="I274" s="25" t="str">
        <x:v>Home Appliances</x:v>
      </x:c>
      <x:c r="J274" s="25" t="str">
        <x:v>Microwave</x:v>
      </x:c>
      <x:c r="K274" s="25" t="n">
        <x:v>2</x:v>
      </x:c>
      <x:c r="L274" s="26" t="n">
        <x:v>5546</x:v>
      </x:c>
      <x:c r="M274" s="27" t="n">
        <x:v>0.1</x:v>
      </x:c>
      <x:c r="N274" s="26" t="n">
        <x:f>K274*L274</x:f>
        <x:v>11092</x:v>
      </x:c>
      <x:c r="O274" s="26" t="n">
        <x:f>N274*(1-M274)</x:f>
        <x:v>9982.800000000001</x:v>
      </x:c>
      <x:c r="P274" s="26" t="n">
        <x:v>4355</x:v>
      </x:c>
      <x:c r="Q274" s="26" t="n">
        <x:f>K274*P274</x:f>
        <x:v>8710</x:v>
      </x:c>
      <x:c r="R274" s="26" t="n">
        <x:f>O274-Q274</x:f>
        <x:v>1272.800000000001</x:v>
      </x:c>
      <x:c r="S274" s="28" t="n">
        <x:f>IF(O274=0,0,R274/O274)</x:f>
        <x:v>0.12749929879392566</x:v>
      </x:c>
      <x:c r="T274" s="25" t="str">
        <x:v>Credit Card</x:v>
      </x:c>
      <x:c r="U274" s="25" t="str">
        <x:v>Completed</x:v>
      </x:c>
      <x:c r="V274" s="29" t="n">
        <x:v>4</x:v>
      </x:c>
    </x:row>
    <x:row r="275">
      <x:c r="A275" s="23" t="str">
        <x:v>MAN-2025-00274</x:v>
      </x:c>
      <x:c r="B275" s="24" t="n">
        <x:v>45783</x:v>
      </x:c>
      <x:c r="C275" s="25" t="str">
        <x:v>Mansoura</x:v>
      </x:c>
      <x:c r="D275" s="25" t="str">
        <x:v>Talkha</x:v>
      </x:c>
      <x:c r="E275" s="25" t="str">
        <x:v>Aya Farouk</x:v>
      </x:c>
      <x:c r="F275" s="25" t="str">
        <x:v>Sara Hassan</x:v>
      </x:c>
      <x:c r="G275" s="25" t="str">
        <x:v>Consumer</x:v>
      </x:c>
      <x:c r="H275" s="25" t="str">
        <x:v>Website</x:v>
      </x:c>
      <x:c r="I275" s="25" t="str">
        <x:v>Electronics</x:v>
      </x:c>
      <x:c r="J275" s="25" t="str">
        <x:v>Tablet</x:v>
      </x:c>
      <x:c r="K275" s="25" t="n">
        <x:v>6</x:v>
      </x:c>
      <x:c r="L275" s="26" t="n">
        <x:v>9534</x:v>
      </x:c>
      <x:c r="M275" s="27" t="n">
        <x:v>0</x:v>
      </x:c>
      <x:c r="N275" s="26" t="n">
        <x:f>K275*L275</x:f>
        <x:v>57204</x:v>
      </x:c>
      <x:c r="O275" s="26" t="n">
        <x:f>N275*(1-M275)</x:f>
        <x:v>57204</x:v>
      </x:c>
      <x:c r="P275" s="26" t="n">
        <x:v>7586</x:v>
      </x:c>
      <x:c r="Q275" s="26" t="n">
        <x:f>K275*P275</x:f>
        <x:v>45516</x:v>
      </x:c>
      <x:c r="R275" s="26" t="n">
        <x:f>O275-Q275</x:f>
        <x:v>11688</x:v>
      </x:c>
      <x:c r="S275" s="28" t="n">
        <x:f>IF(O275=0,0,R275/O275)</x:f>
        <x:v>0.20432137612754353</x:v>
      </x:c>
      <x:c r="T275" s="25" t="str">
        <x:v>Credit Card</x:v>
      </x:c>
      <x:c r="U275" s="25" t="str">
        <x:v>Returned</x:v>
      </x:c>
      <x:c r="V275" s="29" t="n">
        <x:v>5</x:v>
      </x:c>
    </x:row>
    <x:row r="276">
      <x:c r="A276" s="23" t="str">
        <x:v>MAN-2025-00275</x:v>
      </x:c>
      <x:c r="B276" s="24" t="n">
        <x:v>45901</x:v>
      </x:c>
      <x:c r="C276" s="25" t="str">
        <x:v>Mansoura</x:v>
      </x:c>
      <x:c r="D276" s="25" t="str">
        <x:v>Mit Ghamr</x:v>
      </x:c>
      <x:c r="E276" s="25" t="str">
        <x:v>Youssef Fathy</x:v>
      </x:c>
      <x:c r="F276" s="25" t="str">
        <x:v>Sara Khalil</x:v>
      </x:c>
      <x:c r="G276" s="25" t="str">
        <x:v>Corporate</x:v>
      </x:c>
      <x:c r="H276" s="25" t="str">
        <x:v>Mobile App</x:v>
      </x:c>
      <x:c r="I276" s="25" t="str">
        <x:v>Electronics</x:v>
      </x:c>
      <x:c r="J276" s="25" t="str">
        <x:v>Laptop</x:v>
      </x:c>
      <x:c r="K276" s="25" t="n">
        <x:v>3</x:v>
      </x:c>
      <x:c r="L276" s="26" t="n">
        <x:v>23577</x:v>
      </x:c>
      <x:c r="M276" s="27" t="n">
        <x:v>0.15</x:v>
      </x:c>
      <x:c r="N276" s="26" t="n">
        <x:f>K276*L276</x:f>
        <x:v>70731</x:v>
      </x:c>
      <x:c r="O276" s="26" t="n">
        <x:f>N276*(1-M276)</x:f>
        <x:v>60121.35</x:v>
      </x:c>
      <x:c r="P276" s="26" t="n">
        <x:v>21913</x:v>
      </x:c>
      <x:c r="Q276" s="26" t="n">
        <x:f>K276*P276</x:f>
        <x:v>65739</x:v>
      </x:c>
      <x:c r="R276" s="26" t="n">
        <x:f>O276-Q276</x:f>
        <x:v>-5617.6500000000015</x:v>
      </x:c>
      <x:c r="S276" s="28" t="n">
        <x:f>IF(O276=0,0,R276/O276)</x:f>
        <x:v>-0.0934385205921025</x:v>
      </x:c>
      <x:c r="T276" s="25" t="str">
        <x:v>Cash</x:v>
      </x:c>
      <x:c r="U276" s="25" t="str">
        <x:v>Completed</x:v>
      </x:c>
      <x:c r="V276" s="29" t="n">
        <x:v>5</x:v>
      </x:c>
    </x:row>
    <x:row r="277">
      <x:c r="A277" s="23" t="str">
        <x:v>MAN-2025-00276</x:v>
      </x:c>
      <x:c r="B277" s="24" t="n">
        <x:v>45973</x:v>
      </x:c>
      <x:c r="C277" s="25" t="str">
        <x:v>Mansoura</x:v>
      </x:c>
      <x:c r="D277" s="25" t="str">
        <x:v>Mit Ghamr</x:v>
      </x:c>
      <x:c r="E277" s="25" t="str">
        <x:v>Aya Farouk</x:v>
      </x:c>
      <x:c r="F277" s="25" t="str">
        <x:v>Aya Fathy</x:v>
      </x:c>
      <x:c r="G277" s="25" t="str">
        <x:v>Small Business</x:v>
      </x:c>
      <x:c r="H277" s="25" t="str">
        <x:v>Retail Store</x:v>
      </x:c>
      <x:c r="I277" s="25" t="str">
        <x:v>Office Supplies</x:v>
      </x:c>
      <x:c r="J277" s="25" t="str">
        <x:v>Printer</x:v>
      </x:c>
      <x:c r="K277" s="25" t="n">
        <x:v>6</x:v>
      </x:c>
      <x:c r="L277" s="26" t="n">
        <x:v>6393</x:v>
      </x:c>
      <x:c r="M277" s="27" t="n">
        <x:v>0</x:v>
      </x:c>
      <x:c r="N277" s="26" t="n">
        <x:f>K277*L277</x:f>
        <x:v>38358</x:v>
      </x:c>
      <x:c r="O277" s="26" t="n">
        <x:f>N277*(1-M277)</x:f>
        <x:v>38358</x:v>
      </x:c>
      <x:c r="P277" s="26" t="n">
        <x:v>5429</x:v>
      </x:c>
      <x:c r="Q277" s="26" t="n">
        <x:f>K277*P277</x:f>
        <x:v>32574</x:v>
      </x:c>
      <x:c r="R277" s="26" t="n">
        <x:f>O277-Q277</x:f>
        <x:v>5784</x:v>
      </x:c>
      <x:c r="S277" s="28" t="n">
        <x:f>IF(O277=0,0,R277/O277)</x:f>
        <x:v>0.15078992648208978</x:v>
      </x:c>
      <x:c r="T277" s="25" t="str">
        <x:v>Bank Transfer</x:v>
      </x:c>
      <x:c r="U277" s="25" t="str">
        <x:v>Cancelled</x:v>
      </x:c>
      <x:c r="V277" s="29" t="n">
        <x:v>4</x:v>
      </x:c>
    </x:row>
    <x:row r="278">
      <x:c r="A278" s="23" t="str">
        <x:v>MAN-2025-00277</x:v>
      </x:c>
      <x:c r="B278" s="24" t="n">
        <x:v>45896</x:v>
      </x:c>
      <x:c r="C278" s="25" t="str">
        <x:v>Mansoura</x:v>
      </x:c>
      <x:c r="D278" s="25" t="str">
        <x:v>Mit Ghamr</x:v>
      </x:c>
      <x:c r="E278" s="25" t="str">
        <x:v>Ali Sayed</x:v>
      </x:c>
      <x:c r="F278" s="25" t="str">
        <x:v>Hana Samir</x:v>
      </x:c>
      <x:c r="G278" s="25" t="str">
        <x:v>Corporate</x:v>
      </x:c>
      <x:c r="H278" s="25" t="str">
        <x:v>Website</x:v>
      </x:c>
      <x:c r="I278" s="25" t="str">
        <x:v>Furniture</x:v>
      </x:c>
      <x:c r="J278" s="25" t="str">
        <x:v>Desk</x:v>
      </x:c>
      <x:c r="K278" s="25" t="n">
        <x:v>2</x:v>
      </x:c>
      <x:c r="L278" s="26" t="n">
        <x:v>5044</x:v>
      </x:c>
      <x:c r="M278" s="27" t="n">
        <x:v>0.05</x:v>
      </x:c>
      <x:c r="N278" s="26" t="n">
        <x:f>K278*L278</x:f>
        <x:v>10088</x:v>
      </x:c>
      <x:c r="O278" s="26" t="n">
        <x:f>N278*(1-M278)</x:f>
        <x:v>9583.6</x:v>
      </x:c>
      <x:c r="P278" s="26" t="n">
        <x:v>3946</x:v>
      </x:c>
      <x:c r="Q278" s="26" t="n">
        <x:f>K278*P278</x:f>
        <x:v>7892</x:v>
      </x:c>
      <x:c r="R278" s="26" t="n">
        <x:f>O278-Q278</x:f>
        <x:v>1691.6000000000004</x:v>
      </x:c>
      <x:c r="S278" s="28" t="n">
        <x:f>IF(O278=0,0,R278/O278)</x:f>
        <x:v>0.17650987102967572</x:v>
      </x:c>
      <x:c r="T278" s="25" t="str">
        <x:v>Cash</x:v>
      </x:c>
      <x:c r="U278" s="25" t="str">
        <x:v>Completed</x:v>
      </x:c>
      <x:c r="V278" s="29" t="n">
        <x:v>3</x:v>
      </x:c>
    </x:row>
    <x:row r="279">
      <x:c r="A279" s="23" t="str">
        <x:v>MAN-2025-00278</x:v>
      </x:c>
      <x:c r="B279" s="24" t="n">
        <x:v>45744</x:v>
      </x:c>
      <x:c r="C279" s="25" t="str">
        <x:v>Mansoura</x:v>
      </x:c>
      <x:c r="D279" s="25" t="str">
        <x:v>Sherbin</x:v>
      </x:c>
      <x:c r="E279" s="25" t="str">
        <x:v>Salma Mansour</x:v>
      </x:c>
      <x:c r="F279" s="25" t="str">
        <x:v>Mariam Tarek</x:v>
      </x:c>
      <x:c r="G279" s="25" t="str">
        <x:v>Consumer</x:v>
      </x:c>
      <x:c r="H279" s="25" t="str">
        <x:v>Mobile App</x:v>
      </x:c>
      <x:c r="I279" s="25" t="str">
        <x:v>Furniture</x:v>
      </x:c>
      <x:c r="J279" s="25" t="str">
        <x:v>Sofa</x:v>
      </x:c>
      <x:c r="K279" s="25" t="n">
        <x:v>3</x:v>
      </x:c>
      <x:c r="L279" s="26" t="n">
        <x:v>13664</x:v>
      </x:c>
      <x:c r="M279" s="27" t="n">
        <x:v>0</x:v>
      </x:c>
      <x:c r="N279" s="26" t="n">
        <x:f>K279*L279</x:f>
        <x:v>40992</x:v>
      </x:c>
      <x:c r="O279" s="26" t="n">
        <x:f>N279*(1-M279)</x:f>
        <x:v>40992</x:v>
      </x:c>
      <x:c r="P279" s="26" t="n">
        <x:v>11083</x:v>
      </x:c>
      <x:c r="Q279" s="26" t="n">
        <x:f>K279*P279</x:f>
        <x:v>33249</x:v>
      </x:c>
      <x:c r="R279" s="26" t="n">
        <x:f>O279-Q279</x:f>
        <x:v>7743</x:v>
      </x:c>
      <x:c r="S279" s="28" t="n">
        <x:f>IF(O279=0,0,R279/O279)</x:f>
        <x:v>0.18889051522248243</x:v>
      </x:c>
      <x:c r="T279" s="25" t="str">
        <x:v>Bank Transfer</x:v>
      </x:c>
      <x:c r="U279" s="25" t="str">
        <x:v>Completed</x:v>
      </x:c>
      <x:c r="V279" s="29" t="n">
        <x:v>4</x:v>
      </x:c>
    </x:row>
    <x:row r="280">
      <x:c r="A280" s="23" t="str">
        <x:v>MAN-2025-00279</x:v>
      </x:c>
      <x:c r="B280" s="24" t="n">
        <x:v>45896</x:v>
      </x:c>
      <x:c r="C280" s="25" t="str">
        <x:v>Mansoura</x:v>
      </x:c>
      <x:c r="D280" s="25" t="str">
        <x:v>Sherbin</x:v>
      </x:c>
      <x:c r="E280" s="25" t="str">
        <x:v>Aya Farouk</x:v>
      </x:c>
      <x:c r="F280" s="25" t="str">
        <x:v>Karim Fathy</x:v>
      </x:c>
      <x:c r="G280" s="25" t="str">
        <x:v>Consumer</x:v>
      </x:c>
      <x:c r="H280" s="25" t="str">
        <x:v>Website</x:v>
      </x:c>
      <x:c r="I280" s="25" t="str">
        <x:v>Office Supplies</x:v>
      </x:c>
      <x:c r="J280" s="25" t="str">
        <x:v>Ink Cartridge</x:v>
      </x:c>
      <x:c r="K280" s="25" t="n">
        <x:v>2</x:v>
      </x:c>
      <x:c r="L280" s="26" t="n">
        <x:v>853</x:v>
      </x:c>
      <x:c r="M280" s="27" t="n">
        <x:v>0.05</x:v>
      </x:c>
      <x:c r="N280" s="26" t="n">
        <x:f>K280*L280</x:f>
        <x:v>1706</x:v>
      </x:c>
      <x:c r="O280" s="26" t="n">
        <x:f>N280*(1-M280)</x:f>
        <x:v>1620.6999999999998</x:v>
      </x:c>
      <x:c r="P280" s="26" t="n">
        <x:v>556</x:v>
      </x:c>
      <x:c r="Q280" s="26" t="n">
        <x:f>K280*P280</x:f>
        <x:v>1112</x:v>
      </x:c>
      <x:c r="R280" s="26" t="n">
        <x:f>O280-Q280</x:f>
        <x:v>508.6999999999998</x:v>
      </x:c>
      <x:c r="S280" s="28" t="n">
        <x:f>IF(O280=0,0,R280/O280)</x:f>
        <x:v>0.3138767199358301</x:v>
      </x:c>
      <x:c r="T280" s="25" t="str">
        <x:v>Cash</x:v>
      </x:c>
      <x:c r="U280" s="25" t="str">
        <x:v>Returned</x:v>
      </x:c>
      <x:c r="V280" s="29" t="n">
        <x:v>3</x:v>
      </x:c>
    </x:row>
    <x:row r="281">
      <x:c r="A281" s="23" t="str">
        <x:v>MAN-2025-00280</x:v>
      </x:c>
      <x:c r="B281" s="24" t="n">
        <x:v>45669</x:v>
      </x:c>
      <x:c r="C281" s="25" t="str">
        <x:v>Mansoura</x:v>
      </x:c>
      <x:c r="D281" s="25" t="str">
        <x:v>Talkha</x:v>
      </x:c>
      <x:c r="E281" s="25" t="str">
        <x:v>Ali Sayed</x:v>
      </x:c>
      <x:c r="F281" s="25" t="str">
        <x:v>Karim Tarek</x:v>
      </x:c>
      <x:c r="G281" s="25" t="str">
        <x:v>Corporate</x:v>
      </x:c>
      <x:c r="H281" s="25" t="str">
        <x:v>Mobile App</x:v>
      </x:c>
      <x:c r="I281" s="25" t="str">
        <x:v>Electronics</x:v>
      </x:c>
      <x:c r="J281" s="25" t="str">
        <x:v>Tablet</x:v>
      </x:c>
      <x:c r="K281" s="25" t="n">
        <x:v>2</x:v>
      </x:c>
      <x:c r="L281" s="26" t="n">
        <x:v>8943</x:v>
      </x:c>
      <x:c r="M281" s="27" t="n">
        <x:v>0.05</x:v>
      </x:c>
      <x:c r="N281" s="26" t="n">
        <x:f>K281*L281</x:f>
        <x:v>17886</x:v>
      </x:c>
      <x:c r="O281" s="26" t="n">
        <x:f>N281*(1-M281)</x:f>
        <x:v>16991.7</x:v>
      </x:c>
      <x:c r="P281" s="26" t="n">
        <x:v>7241</x:v>
      </x:c>
      <x:c r="Q281" s="26" t="n">
        <x:f>K281*P281</x:f>
        <x:v>14482</x:v>
      </x:c>
      <x:c r="R281" s="26" t="n">
        <x:f>O281-Q281</x:f>
        <x:v>2509.7000000000007</x:v>
      </x:c>
      <x:c r="S281" s="28" t="n">
        <x:f>IF(O281=0,0,R281/O281)</x:f>
        <x:v>0.1477015248621386</x:v>
      </x:c>
      <x:c r="T281" s="25" t="str">
        <x:v>Credit Card</x:v>
      </x:c>
      <x:c r="U281" s="25" t="str">
        <x:v>Completed</x:v>
      </x:c>
      <x:c r="V281" s="29" t="n">
        <x:v>4</x:v>
      </x:c>
    </x:row>
    <x:row r="282">
      <x:c r="A282" s="23" t="str">
        <x:v>MAN-2025-00281</x:v>
      </x:c>
      <x:c r="B282" s="24" t="n">
        <x:v>45979</x:v>
      </x:c>
      <x:c r="C282" s="25" t="str">
        <x:v>Mansoura</x:v>
      </x:c>
      <x:c r="D282" s="25" t="str">
        <x:v>Aga</x:v>
      </x:c>
      <x:c r="E282" s="25" t="str">
        <x:v>Youssef Fathy</x:v>
      </x:c>
      <x:c r="F282" s="25" t="str">
        <x:v>Youssef Gamal</x:v>
      </x:c>
      <x:c r="G282" s="25" t="str">
        <x:v>Small Business</x:v>
      </x:c>
      <x:c r="H282" s="25" t="str">
        <x:v>Phone Order</x:v>
      </x:c>
      <x:c r="I282" s="25" t="str">
        <x:v>Office Supplies</x:v>
      </x:c>
      <x:c r="J282" s="25" t="str">
        <x:v>Ink Cartridge</x:v>
      </x:c>
      <x:c r="K282" s="25" t="n">
        <x:v>2</x:v>
      </x:c>
      <x:c r="L282" s="26" t="n">
        <x:v>809</x:v>
      </x:c>
      <x:c r="M282" s="27" t="n">
        <x:v>0.05</x:v>
      </x:c>
      <x:c r="N282" s="26" t="n">
        <x:f>K282*L282</x:f>
        <x:v>1618</x:v>
      </x:c>
      <x:c r="O282" s="26" t="n">
        <x:f>N282*(1-M282)</x:f>
        <x:v>1537.1</x:v>
      </x:c>
      <x:c r="P282" s="26" t="n">
        <x:v>573</x:v>
      </x:c>
      <x:c r="Q282" s="26" t="n">
        <x:f>K282*P282</x:f>
        <x:v>1146</x:v>
      </x:c>
      <x:c r="R282" s="26" t="n">
        <x:f>O282-Q282</x:f>
        <x:v>391.0999999999999</x:v>
      </x:c>
      <x:c r="S282" s="28" t="n">
        <x:f>IF(O282=0,0,R282/O282)</x:f>
        <x:v>0.2544401795589096</x:v>
      </x:c>
      <x:c r="T282" s="25" t="str">
        <x:v>Digital Wallet</x:v>
      </x:c>
      <x:c r="U282" s="25" t="str">
        <x:v>Returned</x:v>
      </x:c>
      <x:c r="V282" s="29" t="n">
        <x:v>4</x:v>
      </x:c>
    </x:row>
    <x:row r="283">
      <x:c r="A283" s="23" t="str">
        <x:v>MAN-2025-00282</x:v>
      </x:c>
      <x:c r="B283" s="24" t="n">
        <x:v>45660</x:v>
      </x:c>
      <x:c r="C283" s="25" t="str">
        <x:v>Mansoura</x:v>
      </x:c>
      <x:c r="D283" s="25" t="str">
        <x:v>Talkha</x:v>
      </x:c>
      <x:c r="E283" s="25" t="str">
        <x:v>Ali Sayed</x:v>
      </x:c>
      <x:c r="F283" s="25" t="str">
        <x:v>Ali Adel</x:v>
      </x:c>
      <x:c r="G283" s="25" t="str">
        <x:v>Corporate</x:v>
      </x:c>
      <x:c r="H283" s="25" t="str">
        <x:v>Phone Order</x:v>
      </x:c>
      <x:c r="I283" s="25" t="str">
        <x:v>Home Appliances</x:v>
      </x:c>
      <x:c r="J283" s="25" t="str">
        <x:v>Microwave</x:v>
      </x:c>
      <x:c r="K283" s="25" t="n">
        <x:v>1</x:v>
      </x:c>
      <x:c r="L283" s="26" t="n">
        <x:v>5933</x:v>
      </x:c>
      <x:c r="M283" s="27" t="n">
        <x:v>0.1</x:v>
      </x:c>
      <x:c r="N283" s="26" t="n">
        <x:f>K283*L283</x:f>
        <x:v>5933</x:v>
      </x:c>
      <x:c r="O283" s="26" t="n">
        <x:f>N283*(1-M283)</x:f>
        <x:v>5339.7</x:v>
      </x:c>
      <x:c r="P283" s="26" t="n">
        <x:v>4288</x:v>
      </x:c>
      <x:c r="Q283" s="26" t="n">
        <x:f>K283*P283</x:f>
        <x:v>4288</x:v>
      </x:c>
      <x:c r="R283" s="26" t="n">
        <x:f>O283-Q283</x:f>
        <x:v>1051.6999999999998</x:v>
      </x:c>
      <x:c r="S283" s="28" t="n">
        <x:f>IF(O283=0,0,R283/O283)</x:f>
        <x:v>0.19695863063467983</x:v>
      </x:c>
      <x:c r="T283" s="25" t="str">
        <x:v>Credit Card</x:v>
      </x:c>
      <x:c r="U283" s="25" t="str">
        <x:v>Completed</x:v>
      </x:c>
      <x:c r="V283" s="29" t="n">
        <x:v>5</x:v>
      </x:c>
    </x:row>
    <x:row r="284">
      <x:c r="A284" s="23" t="str">
        <x:v>MAN-2025-00283</x:v>
      </x:c>
      <x:c r="B284" s="24" t="n">
        <x:v>45691</x:v>
      </x:c>
      <x:c r="C284" s="25" t="str">
        <x:v>Mansoura</x:v>
      </x:c>
      <x:c r="D284" s="25" t="str">
        <x:v>Sherbin</x:v>
      </x:c>
      <x:c r="E284" s="25" t="str">
        <x:v>Aya Farouk</x:v>
      </x:c>
      <x:c r="F284" s="25" t="str">
        <x:v>Mohamed Sayed</x:v>
      </x:c>
      <x:c r="G284" s="25" t="str">
        <x:v>Consumer</x:v>
      </x:c>
      <x:c r="H284" s="25" t="str">
        <x:v>Website</x:v>
      </x:c>
      <x:c r="I284" s="25" t="str">
        <x:v>Electronics</x:v>
      </x:c>
      <x:c r="J284" s="25" t="str">
        <x:v>Tablet</x:v>
      </x:c>
      <x:c r="K284" s="25" t="n">
        <x:v>4</x:v>
      </x:c>
      <x:c r="L284" s="26" t="n">
        <x:v>9415</x:v>
      </x:c>
      <x:c r="M284" s="27" t="n">
        <x:v>0</x:v>
      </x:c>
      <x:c r="N284" s="26" t="n">
        <x:f>K284*L284</x:f>
        <x:v>37660</x:v>
      </x:c>
      <x:c r="O284" s="26" t="n">
        <x:f>N284*(1-M284)</x:f>
        <x:v>37660</x:v>
      </x:c>
      <x:c r="P284" s="26" t="n">
        <x:v>7083</x:v>
      </x:c>
      <x:c r="Q284" s="26" t="n">
        <x:f>K284*P284</x:f>
        <x:v>28332</x:v>
      </x:c>
      <x:c r="R284" s="26" t="n">
        <x:f>O284-Q284</x:f>
        <x:v>9328</x:v>
      </x:c>
      <x:c r="S284" s="28" t="n">
        <x:f>IF(O284=0,0,R284/O284)</x:f>
        <x:v>0.2476898566117897</x:v>
      </x:c>
      <x:c r="T284" s="25" t="str">
        <x:v>Cash</x:v>
      </x:c>
      <x:c r="U284" s="25" t="str">
        <x:v>Returned</x:v>
      </x:c>
      <x:c r="V284" s="29" t="n">
        <x:v>5</x:v>
      </x:c>
    </x:row>
    <x:row r="285">
      <x:c r="A285" s="23" t="str">
        <x:v>MAN-2025-00284</x:v>
      </x:c>
      <x:c r="B285" s="24" t="n">
        <x:v>45762</x:v>
      </x:c>
      <x:c r="C285" s="25" t="str">
        <x:v>Mansoura</x:v>
      </x:c>
      <x:c r="D285" s="25" t="str">
        <x:v>Sherbin</x:v>
      </x:c>
      <x:c r="E285" s="25" t="str">
        <x:v>Youssef Fathy</x:v>
      </x:c>
      <x:c r="F285" s="25" t="str">
        <x:v>Mohamed Farouk</x:v>
      </x:c>
      <x:c r="G285" s="25" t="str">
        <x:v>Consumer</x:v>
      </x:c>
      <x:c r="H285" s="25" t="str">
        <x:v>Retail Store</x:v>
      </x:c>
      <x:c r="I285" s="25" t="str">
        <x:v>Furniture</x:v>
      </x:c>
      <x:c r="J285" s="25" t="str">
        <x:v>Office Chair</x:v>
      </x:c>
      <x:c r="K285" s="25" t="n">
        <x:v>5</x:v>
      </x:c>
      <x:c r="L285" s="26" t="n">
        <x:v>4019</x:v>
      </x:c>
      <x:c r="M285" s="27" t="n">
        <x:v>0.1</x:v>
      </x:c>
      <x:c r="N285" s="26" t="n">
        <x:f>K285*L285</x:f>
        <x:v>20095</x:v>
      </x:c>
      <x:c r="O285" s="26" t="n">
        <x:f>N285*(1-M285)</x:f>
        <x:v>18085.5</x:v>
      </x:c>
      <x:c r="P285" s="26" t="n">
        <x:v>2805</x:v>
      </x:c>
      <x:c r="Q285" s="26" t="n">
        <x:f>K285*P285</x:f>
        <x:v>14025</x:v>
      </x:c>
      <x:c r="R285" s="26" t="n">
        <x:f>O285-Q285</x:f>
        <x:v>4060.5</x:v>
      </x:c>
      <x:c r="S285" s="28" t="n">
        <x:f>IF(O285=0,0,R285/O285)</x:f>
        <x:v>0.22451687816206353</x:v>
      </x:c>
      <x:c r="T285" s="25" t="str">
        <x:v>Cash</x:v>
      </x:c>
      <x:c r="U285" s="25" t="str">
        <x:v>Returned</x:v>
      </x:c>
      <x:c r="V285" s="29" t="n">
        <x:v>5</x:v>
      </x:c>
    </x:row>
    <x:row r="286">
      <x:c r="A286" s="23" t="str">
        <x:v>MAN-2025-00285</x:v>
      </x:c>
      <x:c r="B286" s="24" t="n">
        <x:v>45673</x:v>
      </x:c>
      <x:c r="C286" s="25" t="str">
        <x:v>Mansoura</x:v>
      </x:c>
      <x:c r="D286" s="25" t="str">
        <x:v>Talkha</x:v>
      </x:c>
      <x:c r="E286" s="25" t="str">
        <x:v>Ali Sayed</x:v>
      </x:c>
      <x:c r="F286" s="25" t="str">
        <x:v>Ali Gamal</x:v>
      </x:c>
      <x:c r="G286" s="25" t="str">
        <x:v>Consumer</x:v>
      </x:c>
      <x:c r="H286" s="25" t="str">
        <x:v>Mobile App</x:v>
      </x:c>
      <x:c r="I286" s="25" t="str">
        <x:v>Home Appliances</x:v>
      </x:c>
      <x:c r="J286" s="25" t="str">
        <x:v>Blender</x:v>
      </x:c>
      <x:c r="K286" s="25" t="n">
        <x:v>6</x:v>
      </x:c>
      <x:c r="L286" s="26" t="n">
        <x:v>1660</x:v>
      </x:c>
      <x:c r="M286" s="27" t="n">
        <x:v>0.15</x:v>
      </x:c>
      <x:c r="N286" s="26" t="n">
        <x:f>K286*L286</x:f>
        <x:v>9960</x:v>
      </x:c>
      <x:c r="O286" s="26" t="n">
        <x:f>N286*(1-M286)</x:f>
        <x:v>8466</x:v>
      </x:c>
      <x:c r="P286" s="26" t="n">
        <x:v>1299</x:v>
      </x:c>
      <x:c r="Q286" s="26" t="n">
        <x:f>K286*P286</x:f>
        <x:v>7794</x:v>
      </x:c>
      <x:c r="R286" s="26" t="n">
        <x:f>O286-Q286</x:f>
        <x:v>672</x:v>
      </x:c>
      <x:c r="S286" s="28" t="n">
        <x:f>IF(O286=0,0,R286/O286)</x:f>
        <x:v>0.07937632884479093</x:v>
      </x:c>
      <x:c r="T286" s="25" t="str">
        <x:v>Digital Wallet</x:v>
      </x:c>
      <x:c r="U286" s="25" t="str">
        <x:v>Completed</x:v>
      </x:c>
      <x:c r="V286" s="29" t="n">
        <x:v>5</x:v>
      </x:c>
    </x:row>
    <x:row r="287">
      <x:c r="A287" s="23" t="str">
        <x:v>MAN-2025-00286</x:v>
      </x:c>
      <x:c r="B287" s="24" t="n">
        <x:v>45919</x:v>
      </x:c>
      <x:c r="C287" s="25" t="str">
        <x:v>Mansoura</x:v>
      </x:c>
      <x:c r="D287" s="25" t="str">
        <x:v>Mit Ghamr</x:v>
      </x:c>
      <x:c r="E287" s="25" t="str">
        <x:v>Salma Mansour</x:v>
      </x:c>
      <x:c r="F287" s="25" t="str">
        <x:v>Sara Nasser</x:v>
      </x:c>
      <x:c r="G287" s="25" t="str">
        <x:v>Small Business</x:v>
      </x:c>
      <x:c r="H287" s="25" t="str">
        <x:v>Website</x:v>
      </x:c>
      <x:c r="I287" s="25" t="str">
        <x:v>Home Appliances</x:v>
      </x:c>
      <x:c r="J287" s="25" t="str">
        <x:v>Washing Machine</x:v>
      </x:c>
      <x:c r="K287" s="25" t="n">
        <x:v>3</x:v>
      </x:c>
      <x:c r="L287" s="26" t="n">
        <x:v>16890</x:v>
      </x:c>
      <x:c r="M287" s="27" t="n">
        <x:v>0.15</x:v>
      </x:c>
      <x:c r="N287" s="26" t="n">
        <x:f>K287*L287</x:f>
        <x:v>50670</x:v>
      </x:c>
      <x:c r="O287" s="26" t="n">
        <x:f>N287*(1-M287)</x:f>
        <x:v>43069.5</x:v>
      </x:c>
      <x:c r="P287" s="26" t="n">
        <x:v>14460</x:v>
      </x:c>
      <x:c r="Q287" s="26" t="n">
        <x:f>K287*P287</x:f>
        <x:v>43380</x:v>
      </x:c>
      <x:c r="R287" s="26" t="n">
        <x:f>O287-Q287</x:f>
        <x:v>-310.5</x:v>
      </x:c>
      <x:c r="S287" s="28" t="n">
        <x:f>IF(O287=0,0,R287/O287)</x:f>
        <x:v>-0.00720927802737436</x:v>
      </x:c>
      <x:c r="T287" s="25" t="str">
        <x:v>Debit Card</x:v>
      </x:c>
      <x:c r="U287" s="25" t="str">
        <x:v>Completed</x:v>
      </x:c>
      <x:c r="V287" s="29" t="n">
        <x:v>4</x:v>
      </x:c>
    </x:row>
    <x:row r="288">
      <x:c r="A288" s="23" t="str">
        <x:v>MAN-2025-00287</x:v>
      </x:c>
      <x:c r="B288" s="24" t="n">
        <x:v>45943</x:v>
      </x:c>
      <x:c r="C288" s="25" t="str">
        <x:v>Mansoura</x:v>
      </x:c>
      <x:c r="D288" s="25" t="str">
        <x:v>Talkha</x:v>
      </x:c>
      <x:c r="E288" s="25" t="str">
        <x:v>Ali Sayed</x:v>
      </x:c>
      <x:c r="F288" s="25" t="str">
        <x:v>Nour Adel</x:v>
      </x:c>
      <x:c r="G288" s="25" t="str">
        <x:v>Corporate</x:v>
      </x:c>
      <x:c r="H288" s="25" t="str">
        <x:v>Phone Order</x:v>
      </x:c>
      <x:c r="I288" s="25" t="str">
        <x:v>Furniture</x:v>
      </x:c>
      <x:c r="J288" s="25" t="str">
        <x:v>Bookshelf</x:v>
      </x:c>
      <x:c r="K288" s="25" t="n">
        <x:v>4</x:v>
      </x:c>
      <x:c r="L288" s="26" t="n">
        <x:v>3085</x:v>
      </x:c>
      <x:c r="M288" s="27" t="n">
        <x:v>0</x:v>
      </x:c>
      <x:c r="N288" s="26" t="n">
        <x:f>K288*L288</x:f>
        <x:v>12340</x:v>
      </x:c>
      <x:c r="O288" s="26" t="n">
        <x:f>N288*(1-M288)</x:f>
        <x:v>12340</x:v>
      </x:c>
      <x:c r="P288" s="26" t="n">
        <x:v>2164</x:v>
      </x:c>
      <x:c r="Q288" s="26" t="n">
        <x:f>K288*P288</x:f>
        <x:v>8656</x:v>
      </x:c>
      <x:c r="R288" s="26" t="n">
        <x:f>O288-Q288</x:f>
        <x:v>3684</x:v>
      </x:c>
      <x:c r="S288" s="28" t="n">
        <x:f>IF(O288=0,0,R288/O288)</x:f>
        <x:v>0.2985413290113452</x:v>
      </x:c>
      <x:c r="T288" s="25" t="str">
        <x:v>Digital Wallet</x:v>
      </x:c>
      <x:c r="U288" s="25" t="str">
        <x:v>Completed</x:v>
      </x:c>
      <x:c r="V288" s="29" t="n">
        <x:v>4</x:v>
      </x:c>
    </x:row>
    <x:row r="289">
      <x:c r="A289" s="23" t="str">
        <x:v>MAN-2025-00288</x:v>
      </x:c>
      <x:c r="B289" s="24" t="n">
        <x:v>45982</x:v>
      </x:c>
      <x:c r="C289" s="25" t="str">
        <x:v>Mansoura</x:v>
      </x:c>
      <x:c r="D289" s="25" t="str">
        <x:v>Sherbin</x:v>
      </x:c>
      <x:c r="E289" s="25" t="str">
        <x:v>Ali Sayed</x:v>
      </x:c>
      <x:c r="F289" s="25" t="str">
        <x:v>Youssef Gamal</x:v>
      </x:c>
      <x:c r="G289" s="25" t="str">
        <x:v>Consumer</x:v>
      </x:c>
      <x:c r="H289" s="25" t="str">
        <x:v>Retail Store</x:v>
      </x:c>
      <x:c r="I289" s="25" t="str">
        <x:v>Home Appliances</x:v>
      </x:c>
      <x:c r="J289" s="25" t="str">
        <x:v>Blender</x:v>
      </x:c>
      <x:c r="K289" s="25" t="n">
        <x:v>4</x:v>
      </x:c>
      <x:c r="L289" s="26" t="n">
        <x:v>1655</x:v>
      </x:c>
      <x:c r="M289" s="27" t="n">
        <x:v>0</x:v>
      </x:c>
      <x:c r="N289" s="26" t="n">
        <x:f>K289*L289</x:f>
        <x:v>6620</x:v>
      </x:c>
      <x:c r="O289" s="26" t="n">
        <x:f>N289*(1-M289)</x:f>
        <x:v>6620</x:v>
      </x:c>
      <x:c r="P289" s="26" t="n">
        <x:v>1289</x:v>
      </x:c>
      <x:c r="Q289" s="26" t="n">
        <x:f>K289*P289</x:f>
        <x:v>5156</x:v>
      </x:c>
      <x:c r="R289" s="26" t="n">
        <x:f>O289-Q289</x:f>
        <x:v>1464</x:v>
      </x:c>
      <x:c r="S289" s="28" t="n">
        <x:f>IF(O289=0,0,R289/O289)</x:f>
        <x:v>0.22114803625377644</x:v>
      </x:c>
      <x:c r="T289" s="25" t="str">
        <x:v>Credit Card</x:v>
      </x:c>
      <x:c r="U289" s="25" t="str">
        <x:v>Returned</x:v>
      </x:c>
      <x:c r="V289" s="29" t="n">
        <x:v>5</x:v>
      </x:c>
    </x:row>
    <x:row r="290">
      <x:c r="A290" s="23" t="str">
        <x:v>MAN-2025-00289</x:v>
      </x:c>
      <x:c r="B290" s="24" t="n">
        <x:v>45815</x:v>
      </x:c>
      <x:c r="C290" s="25" t="str">
        <x:v>Mansoura</x:v>
      </x:c>
      <x:c r="D290" s="25" t="str">
        <x:v>Mit Ghamr</x:v>
      </x:c>
      <x:c r="E290" s="25" t="str">
        <x:v>Ali Sayed</x:v>
      </x:c>
      <x:c r="F290" s="25" t="str">
        <x:v>Hana Mansour</x:v>
      </x:c>
      <x:c r="G290" s="25" t="str">
        <x:v>Small Business</x:v>
      </x:c>
      <x:c r="H290" s="25" t="str">
        <x:v>Website</x:v>
      </x:c>
      <x:c r="I290" s="25" t="str">
        <x:v>Home Appliances</x:v>
      </x:c>
      <x:c r="J290" s="25" t="str">
        <x:v>Washing Machine</x:v>
      </x:c>
      <x:c r="K290" s="25" t="n">
        <x:v>1</x:v>
      </x:c>
      <x:c r="L290" s="26" t="n">
        <x:v>15760</x:v>
      </x:c>
      <x:c r="M290" s="27" t="n">
        <x:v>0.1</x:v>
      </x:c>
      <x:c r="N290" s="26" t="n">
        <x:f>K290*L290</x:f>
        <x:v>15760</x:v>
      </x:c>
      <x:c r="O290" s="26" t="n">
        <x:f>N290*(1-M290)</x:f>
        <x:v>14184</x:v>
      </x:c>
      <x:c r="P290" s="26" t="n">
        <x:v>13896</x:v>
      </x:c>
      <x:c r="Q290" s="26" t="n">
        <x:f>K290*P290</x:f>
        <x:v>13896</x:v>
      </x:c>
      <x:c r="R290" s="26" t="n">
        <x:f>O290-Q290</x:f>
        <x:v>288</x:v>
      </x:c>
      <x:c r="S290" s="28" t="n">
        <x:f>IF(O290=0,0,R290/O290)</x:f>
        <x:v>0.02030456852791878</x:v>
      </x:c>
      <x:c r="T290" s="25" t="str">
        <x:v>Credit Card</x:v>
      </x:c>
      <x:c r="U290" s="25" t="str">
        <x:v>Completed</x:v>
      </x:c>
      <x:c r="V290" s="29" t="n">
        <x:v>4</x:v>
      </x:c>
    </x:row>
    <x:row r="291">
      <x:c r="A291" s="23" t="str">
        <x:v>MAN-2025-00290</x:v>
      </x:c>
      <x:c r="B291" s="24" t="n">
        <x:v>45768</x:v>
      </x:c>
      <x:c r="C291" s="25" t="str">
        <x:v>Mansoura</x:v>
      </x:c>
      <x:c r="D291" s="25" t="str">
        <x:v>Mit Ghamr</x:v>
      </x:c>
      <x:c r="E291" s="25" t="str">
        <x:v>Ali Sayed</x:v>
      </x:c>
      <x:c r="F291" s="25" t="str">
        <x:v>Nour Tarek</x:v>
      </x:c>
      <x:c r="G291" s="25" t="str">
        <x:v>Small Business</x:v>
      </x:c>
      <x:c r="H291" s="25" t="str">
        <x:v>Retail Store</x:v>
      </x:c>
      <x:c r="I291" s="25" t="str">
        <x:v>Home Appliances</x:v>
      </x:c>
      <x:c r="J291" s="25" t="str">
        <x:v>Washing Machine</x:v>
      </x:c>
      <x:c r="K291" s="25" t="n">
        <x:v>2</x:v>
      </x:c>
      <x:c r="L291" s="26" t="n">
        <x:v>16360</x:v>
      </x:c>
      <x:c r="M291" s="27" t="n">
        <x:v>0.1</x:v>
      </x:c>
      <x:c r="N291" s="26" t="n">
        <x:f>K291*L291</x:f>
        <x:v>32720</x:v>
      </x:c>
      <x:c r="O291" s="26" t="n">
        <x:f>N291*(1-M291)</x:f>
        <x:v>29448</x:v>
      </x:c>
      <x:c r="P291" s="26" t="n">
        <x:v>13985</x:v>
      </x:c>
      <x:c r="Q291" s="26" t="n">
        <x:f>K291*P291</x:f>
        <x:v>27970</x:v>
      </x:c>
      <x:c r="R291" s="26" t="n">
        <x:f>O291-Q291</x:f>
        <x:v>1478</x:v>
      </x:c>
      <x:c r="S291" s="28" t="n">
        <x:f>IF(O291=0,0,R291/O291)</x:f>
        <x:v>0.050190165715838085</x:v>
      </x:c>
      <x:c r="T291" s="25" t="str">
        <x:v>Digital Wallet</x:v>
      </x:c>
      <x:c r="U291" s="25" t="str">
        <x:v>Cancelled</x:v>
      </x:c>
      <x:c r="V291" s="29" t="n">
        <x:v>3</x:v>
      </x:c>
    </x:row>
    <x:row r="292">
      <x:c r="A292" s="23" t="str">
        <x:v>MAN-2025-00291</x:v>
      </x:c>
      <x:c r="B292" s="24" t="n">
        <x:v>45921</x:v>
      </x:c>
      <x:c r="C292" s="25" t="str">
        <x:v>Mansoura</x:v>
      </x:c>
      <x:c r="D292" s="25" t="str">
        <x:v>Aga</x:v>
      </x:c>
      <x:c r="E292" s="25" t="str">
        <x:v>Salma Mansour</x:v>
      </x:c>
      <x:c r="F292" s="25" t="str">
        <x:v>Nour Mansour</x:v>
      </x:c>
      <x:c r="G292" s="25" t="str">
        <x:v>Consumer</x:v>
      </x:c>
      <x:c r="H292" s="25" t="str">
        <x:v>Phone Order</x:v>
      </x:c>
      <x:c r="I292" s="25" t="str">
        <x:v>Home Appliances</x:v>
      </x:c>
      <x:c r="J292" s="25" t="str">
        <x:v>Microwave</x:v>
      </x:c>
      <x:c r="K292" s="25" t="n">
        <x:v>2</x:v>
      </x:c>
      <x:c r="L292" s="26" t="n">
        <x:v>5442</x:v>
      </x:c>
      <x:c r="M292" s="27" t="n">
        <x:v>0.15</x:v>
      </x:c>
      <x:c r="N292" s="26" t="n">
        <x:f>K292*L292</x:f>
        <x:v>10884</x:v>
      </x:c>
      <x:c r="O292" s="26" t="n">
        <x:f>N292*(1-M292)</x:f>
        <x:v>9251.4</x:v>
      </x:c>
      <x:c r="P292" s="26" t="n">
        <x:v>4294</x:v>
      </x:c>
      <x:c r="Q292" s="26" t="n">
        <x:f>K292*P292</x:f>
        <x:v>8588</x:v>
      </x:c>
      <x:c r="R292" s="26" t="n">
        <x:f>O292-Q292</x:f>
        <x:v>663.3999999999996</x:v>
      </x:c>
      <x:c r="S292" s="28" t="n">
        <x:f>IF(O292=0,0,R292/O292)</x:f>
        <x:v>0.07170806580625631</x:v>
      </x:c>
      <x:c r="T292" s="25" t="str">
        <x:v>Cash</x:v>
      </x:c>
      <x:c r="U292" s="25" t="str">
        <x:v>Cancelled</x:v>
      </x:c>
      <x:c r="V292" s="29" t="n">
        <x:v>4</x:v>
      </x:c>
    </x:row>
    <x:row r="293">
      <x:c r="A293" s="23" t="str">
        <x:v>MAN-2025-00292</x:v>
      </x:c>
      <x:c r="B293" s="24" t="n">
        <x:v>45852</x:v>
      </x:c>
      <x:c r="C293" s="25" t="str">
        <x:v>Mansoura</x:v>
      </x:c>
      <x:c r="D293" s="25" t="str">
        <x:v>Talkha</x:v>
      </x:c>
      <x:c r="E293" s="25" t="str">
        <x:v>Salma Mansour</x:v>
      </x:c>
      <x:c r="F293" s="25" t="str">
        <x:v>Youssef Farouk</x:v>
      </x:c>
      <x:c r="G293" s="25" t="str">
        <x:v>Consumer</x:v>
      </x:c>
      <x:c r="H293" s="25" t="str">
        <x:v>Website</x:v>
      </x:c>
      <x:c r="I293" s="25" t="str">
        <x:v>Home Appliances</x:v>
      </x:c>
      <x:c r="J293" s="25" t="str">
        <x:v>Blender</x:v>
      </x:c>
      <x:c r="K293" s="25" t="n">
        <x:v>5</x:v>
      </x:c>
      <x:c r="L293" s="26" t="n">
        <x:v>1846</x:v>
      </x:c>
      <x:c r="M293" s="27" t="n">
        <x:v>0.15</x:v>
      </x:c>
      <x:c r="N293" s="26" t="n">
        <x:f>K293*L293</x:f>
        <x:v>9230</x:v>
      </x:c>
      <x:c r="O293" s="26" t="n">
        <x:f>N293*(1-M293)</x:f>
        <x:v>7845.5</x:v>
      </x:c>
      <x:c r="P293" s="26" t="n">
        <x:v>1216</x:v>
      </x:c>
      <x:c r="Q293" s="26" t="n">
        <x:f>K293*P293</x:f>
        <x:v>6080</x:v>
      </x:c>
      <x:c r="R293" s="26" t="n">
        <x:f>O293-Q293</x:f>
        <x:v>1765.5</x:v>
      </x:c>
      <x:c r="S293" s="28" t="n">
        <x:f>IF(O293=0,0,R293/O293)</x:f>
        <x:v>0.22503345867057548</x:v>
      </x:c>
      <x:c r="T293" s="25" t="str">
        <x:v>Cash</x:v>
      </x:c>
      <x:c r="U293" s="25" t="str">
        <x:v>Completed</x:v>
      </x:c>
      <x:c r="V293" s="29" t="n">
        <x:v>5</x:v>
      </x:c>
    </x:row>
    <x:row r="294">
      <x:c r="A294" s="23" t="str">
        <x:v>MAN-2025-00293</x:v>
      </x:c>
      <x:c r="B294" s="24" t="n">
        <x:v>45925</x:v>
      </x:c>
      <x:c r="C294" s="25" t="str">
        <x:v>Mansoura</x:v>
      </x:c>
      <x:c r="D294" s="25" t="str">
        <x:v>Mansoura City</x:v>
      </x:c>
      <x:c r="E294" s="25" t="str">
        <x:v>Youssef Fathy</x:v>
      </x:c>
      <x:c r="F294" s="25" t="str">
        <x:v>Mariam Khalil</x:v>
      </x:c>
      <x:c r="G294" s="25" t="str">
        <x:v>Corporate</x:v>
      </x:c>
      <x:c r="H294" s="25" t="str">
        <x:v>Mobile App</x:v>
      </x:c>
      <x:c r="I294" s="25" t="str">
        <x:v>Electronics</x:v>
      </x:c>
      <x:c r="J294" s="25" t="str">
        <x:v>Headphones</x:v>
      </x:c>
      <x:c r="K294" s="25" t="n">
        <x:v>3</x:v>
      </x:c>
      <x:c r="L294" s="26" t="n">
        <x:v>1625</x:v>
      </x:c>
      <x:c r="M294" s="27" t="n">
        <x:v>0</x:v>
      </x:c>
      <x:c r="N294" s="26" t="n">
        <x:f>K294*L294</x:f>
        <x:v>4875</x:v>
      </x:c>
      <x:c r="O294" s="26" t="n">
        <x:f>N294*(1-M294)</x:f>
        <x:v>4875</x:v>
      </x:c>
      <x:c r="P294" s="26" t="n">
        <x:v>1129</x:v>
      </x:c>
      <x:c r="Q294" s="26" t="n">
        <x:f>K294*P294</x:f>
        <x:v>3387</x:v>
      </x:c>
      <x:c r="R294" s="26" t="n">
        <x:f>O294-Q294</x:f>
        <x:v>1488</x:v>
      </x:c>
      <x:c r="S294" s="28" t="n">
        <x:f>IF(O294=0,0,R294/O294)</x:f>
        <x:v>0.30523076923076925</x:v>
      </x:c>
      <x:c r="T294" s="25" t="str">
        <x:v>Cash</x:v>
      </x:c>
      <x:c r="U294" s="25" t="str">
        <x:v>Returned</x:v>
      </x:c>
      <x:c r="V294" s="29" t="n">
        <x:v>5</x:v>
      </x:c>
    </x:row>
    <x:row r="295">
      <x:c r="A295" s="23" t="str">
        <x:v>MAN-2025-00294</x:v>
      </x:c>
      <x:c r="B295" s="24" t="n">
        <x:v>45905</x:v>
      </x:c>
      <x:c r="C295" s="25" t="str">
        <x:v>Mansoura</x:v>
      </x:c>
      <x:c r="D295" s="25" t="str">
        <x:v>Sherbin</x:v>
      </x:c>
      <x:c r="E295" s="25" t="str">
        <x:v>Youssef Fathy</x:v>
      </x:c>
      <x:c r="F295" s="25" t="str">
        <x:v>Sara Mansour</x:v>
      </x:c>
      <x:c r="G295" s="25" t="str">
        <x:v>Corporate</x:v>
      </x:c>
      <x:c r="H295" s="25" t="str">
        <x:v>Mobile App</x:v>
      </x:c>
      <x:c r="I295" s="25" t="str">
        <x:v>Furniture</x:v>
      </x:c>
      <x:c r="J295" s="25" t="str">
        <x:v>Sofa</x:v>
      </x:c>
      <x:c r="K295" s="25" t="n">
        <x:v>1</x:v>
      </x:c>
      <x:c r="L295" s="26" t="n">
        <x:v>14092</x:v>
      </x:c>
      <x:c r="M295" s="27" t="n">
        <x:v>0</x:v>
      </x:c>
      <x:c r="N295" s="26" t="n">
        <x:f>K295*L295</x:f>
        <x:v>14092</x:v>
      </x:c>
      <x:c r="O295" s="26" t="n">
        <x:f>N295*(1-M295)</x:f>
        <x:v>14092</x:v>
      </x:c>
      <x:c r="P295" s="26" t="n">
        <x:v>10962</x:v>
      </x:c>
      <x:c r="Q295" s="26" t="n">
        <x:f>K295*P295</x:f>
        <x:v>10962</x:v>
      </x:c>
      <x:c r="R295" s="26" t="n">
        <x:f>O295-Q295</x:f>
        <x:v>3130</x:v>
      </x:c>
      <x:c r="S295" s="28" t="n">
        <x:f>IF(O295=0,0,R295/O295)</x:f>
        <x:v>0.22211183650298041</x:v>
      </x:c>
      <x:c r="T295" s="25" t="str">
        <x:v>Debit Card</x:v>
      </x:c>
      <x:c r="U295" s="25" t="str">
        <x:v>Returned</x:v>
      </x:c>
      <x:c r="V295" s="29" t="n">
        <x:v>5</x:v>
      </x:c>
    </x:row>
    <x:row r="296">
      <x:c r="A296" s="23" t="str">
        <x:v>MAN-2025-00295</x:v>
      </x:c>
      <x:c r="B296" s="24" t="n">
        <x:v>45764</x:v>
      </x:c>
      <x:c r="C296" s="25" t="str">
        <x:v>Mansoura</x:v>
      </x:c>
      <x:c r="D296" s="25" t="str">
        <x:v>Talkha</x:v>
      </x:c>
      <x:c r="E296" s="25" t="str">
        <x:v>Salma Mansour</x:v>
      </x:c>
      <x:c r="F296" s="25" t="str">
        <x:v>Mahmoud Farouk</x:v>
      </x:c>
      <x:c r="G296" s="25" t="str">
        <x:v>Consumer</x:v>
      </x:c>
      <x:c r="H296" s="25" t="str">
        <x:v>Retail Store</x:v>
      </x:c>
      <x:c r="I296" s="25" t="str">
        <x:v>Electronics</x:v>
      </x:c>
      <x:c r="J296" s="25" t="str">
        <x:v>Tablet</x:v>
      </x:c>
      <x:c r="K296" s="25" t="n">
        <x:v>6</x:v>
      </x:c>
      <x:c r="L296" s="26" t="n">
        <x:v>8682</x:v>
      </x:c>
      <x:c r="M296" s="27" t="n">
        <x:v>0.1</x:v>
      </x:c>
      <x:c r="N296" s="26" t="n">
        <x:f>K296*L296</x:f>
        <x:v>52092</x:v>
      </x:c>
      <x:c r="O296" s="26" t="n">
        <x:f>N296*(1-M296)</x:f>
        <x:v>46882.8</x:v>
      </x:c>
      <x:c r="P296" s="26" t="n">
        <x:v>7270</x:v>
      </x:c>
      <x:c r="Q296" s="26" t="n">
        <x:f>K296*P296</x:f>
        <x:v>43620</x:v>
      </x:c>
      <x:c r="R296" s="26" t="n">
        <x:f>O296-Q296</x:f>
        <x:v>3262.800000000003</x:v>
      </x:c>
      <x:c r="S296" s="28" t="n">
        <x:f>IF(O296=0,0,R296/O296)</x:f>
        <x:v>0.06959481942204823</x:v>
      </x:c>
      <x:c r="T296" s="25" t="str">
        <x:v>Debit Card</x:v>
      </x:c>
      <x:c r="U296" s="25" t="str">
        <x:v>Completed</x:v>
      </x:c>
      <x:c r="V296" s="29" t="n">
        <x:v>4</x:v>
      </x:c>
    </x:row>
    <x:row r="297">
      <x:c r="A297" s="23" t="str">
        <x:v>MAN-2025-00296</x:v>
      </x:c>
      <x:c r="B297" s="24" t="n">
        <x:v>45994</x:v>
      </x:c>
      <x:c r="C297" s="25" t="str">
        <x:v>Mansoura</x:v>
      </x:c>
      <x:c r="D297" s="25" t="str">
        <x:v>Mit Ghamr</x:v>
      </x:c>
      <x:c r="E297" s="25" t="str">
        <x:v>Salma Mansour</x:v>
      </x:c>
      <x:c r="F297" s="25" t="str">
        <x:v>Sara Adel</x:v>
      </x:c>
      <x:c r="G297" s="25" t="str">
        <x:v>Small Business</x:v>
      </x:c>
      <x:c r="H297" s="25" t="str">
        <x:v>Retail Store</x:v>
      </x:c>
      <x:c r="I297" s="25" t="str">
        <x:v>Electronics</x:v>
      </x:c>
      <x:c r="J297" s="25" t="str">
        <x:v>Smartphone</x:v>
      </x:c>
      <x:c r="K297" s="25" t="n">
        <x:v>2</x:v>
      </x:c>
      <x:c r="L297" s="26" t="n">
        <x:v>12753</x:v>
      </x:c>
      <x:c r="M297" s="27" t="n">
        <x:v>0.05</x:v>
      </x:c>
      <x:c r="N297" s="26" t="n">
        <x:f>K297*L297</x:f>
        <x:v>25506</x:v>
      </x:c>
      <x:c r="O297" s="26" t="n">
        <x:f>N297*(1-M297)</x:f>
        <x:v>24230.699999999997</x:v>
      </x:c>
      <x:c r="P297" s="26" t="n">
        <x:v>10824</x:v>
      </x:c>
      <x:c r="Q297" s="26" t="n">
        <x:f>K297*P297</x:f>
        <x:v>21648</x:v>
      </x:c>
      <x:c r="R297" s="26" t="n">
        <x:f>O297-Q297</x:f>
        <x:v>2582.699999999997</x:v>
      </x:c>
      <x:c r="S297" s="28" t="n">
        <x:f>IF(O297=0,0,R297/O297)</x:f>
        <x:v>0.10658792358454347</x:v>
      </x:c>
      <x:c r="T297" s="25" t="str">
        <x:v>Bank Transfer</x:v>
      </x:c>
      <x:c r="U297" s="25" t="str">
        <x:v>Completed</x:v>
      </x:c>
      <x:c r="V297" s="29" t="n">
        <x:v>5</x:v>
      </x:c>
    </x:row>
    <x:row r="298">
      <x:c r="A298" s="23" t="str">
        <x:v>MAN-2025-00297</x:v>
      </x:c>
      <x:c r="B298" s="24" t="n">
        <x:v>45730</x:v>
      </x:c>
      <x:c r="C298" s="25" t="str">
        <x:v>Mansoura</x:v>
      </x:c>
      <x:c r="D298" s="25" t="str">
        <x:v>Mansoura City</x:v>
      </x:c>
      <x:c r="E298" s="25" t="str">
        <x:v>Youssef Fathy</x:v>
      </x:c>
      <x:c r="F298" s="25" t="str">
        <x:v>Sara Tarek</x:v>
      </x:c>
      <x:c r="G298" s="25" t="str">
        <x:v>Small Business</x:v>
      </x:c>
      <x:c r="H298" s="25" t="str">
        <x:v>Retail Store</x:v>
      </x:c>
      <x:c r="I298" s="25" t="str">
        <x:v>Furniture</x:v>
      </x:c>
      <x:c r="J298" s="25" t="str">
        <x:v>Sofa</x:v>
      </x:c>
      <x:c r="K298" s="25" t="n">
        <x:v>3</x:v>
      </x:c>
      <x:c r="L298" s="26" t="n">
        <x:v>12745</x:v>
      </x:c>
      <x:c r="M298" s="27" t="n">
        <x:v>0.05</x:v>
      </x:c>
      <x:c r="N298" s="26" t="n">
        <x:f>K298*L298</x:f>
        <x:v>38235</x:v>
      </x:c>
      <x:c r="O298" s="26" t="n">
        <x:f>N298*(1-M298)</x:f>
        <x:v>36323.25</x:v>
      </x:c>
      <x:c r="P298" s="26" t="n">
        <x:v>10662</x:v>
      </x:c>
      <x:c r="Q298" s="26" t="n">
        <x:f>K298*P298</x:f>
        <x:v>31986</x:v>
      </x:c>
      <x:c r="R298" s="26" t="n">
        <x:f>O298-Q298</x:f>
        <x:v>4337.25</x:v>
      </x:c>
      <x:c r="S298" s="28" t="n">
        <x:f>IF(O298=0,0,R298/O298)</x:f>
        <x:v>0.11940699138981231</x:v>
      </x:c>
      <x:c r="T298" s="25" t="str">
        <x:v>Credit Card</x:v>
      </x:c>
      <x:c r="U298" s="25" t="str">
        <x:v>Completed</x:v>
      </x:c>
      <x:c r="V298" s="29" t="n">
        <x:v>5</x:v>
      </x:c>
    </x:row>
    <x:row r="299">
      <x:c r="A299" s="23" t="str">
        <x:v>MAN-2025-00298</x:v>
      </x:c>
      <x:c r="B299" s="24" t="n">
        <x:v>45708</x:v>
      </x:c>
      <x:c r="C299" s="25" t="str">
        <x:v>Mansoura</x:v>
      </x:c>
      <x:c r="D299" s="25" t="str">
        <x:v>Mit Ghamr</x:v>
      </x:c>
      <x:c r="E299" s="25" t="str">
        <x:v>Aya Farouk</x:v>
      </x:c>
      <x:c r="F299" s="25" t="str">
        <x:v>Mostafa Nasser</x:v>
      </x:c>
      <x:c r="G299" s="25" t="str">
        <x:v>Consumer</x:v>
      </x:c>
      <x:c r="H299" s="25" t="str">
        <x:v>Mobile App</x:v>
      </x:c>
      <x:c r="I299" s="25" t="str">
        <x:v>Home Appliances</x:v>
      </x:c>
      <x:c r="J299" s="25" t="str">
        <x:v>Washing Machine</x:v>
      </x:c>
      <x:c r="K299" s="25" t="n">
        <x:v>3</x:v>
      </x:c>
      <x:c r="L299" s="26" t="n">
        <x:v>15547</x:v>
      </x:c>
      <x:c r="M299" s="27" t="n">
        <x:v>0.05</x:v>
      </x:c>
      <x:c r="N299" s="26" t="n">
        <x:f>K299*L299</x:f>
        <x:v>46641</x:v>
      </x:c>
      <x:c r="O299" s="26" t="n">
        <x:f>N299*(1-M299)</x:f>
        <x:v>44308.95</x:v>
      </x:c>
      <x:c r="P299" s="26" t="n">
        <x:v>14536</x:v>
      </x:c>
      <x:c r="Q299" s="26" t="n">
        <x:f>K299*P299</x:f>
        <x:v>43608</x:v>
      </x:c>
      <x:c r="R299" s="26" t="n">
        <x:f>O299-Q299</x:f>
        <x:v>700.9499999999971</x:v>
      </x:c>
      <x:c r="S299" s="28" t="n">
        <x:f>IF(O299=0,0,R299/O299)</x:f>
        <x:v>0.015819603037309553</x:v>
      </x:c>
      <x:c r="T299" s="25" t="str">
        <x:v>Debit Card</x:v>
      </x:c>
      <x:c r="U299" s="25" t="str">
        <x:v>Completed</x:v>
      </x:c>
      <x:c r="V299" s="29" t="n">
        <x:v>5</x:v>
      </x:c>
    </x:row>
    <x:row r="300">
      <x:c r="A300" s="23" t="str">
        <x:v>MAN-2025-00299</x:v>
      </x:c>
      <x:c r="B300" s="24" t="n">
        <x:v>45714</x:v>
      </x:c>
      <x:c r="C300" s="25" t="str">
        <x:v>Mansoura</x:v>
      </x:c>
      <x:c r="D300" s="25" t="str">
        <x:v>Sherbin</x:v>
      </x:c>
      <x:c r="E300" s="25" t="str">
        <x:v>Ali Sayed</x:v>
      </x:c>
      <x:c r="F300" s="25" t="str">
        <x:v>Nour Nasser</x:v>
      </x:c>
      <x:c r="G300" s="25" t="str">
        <x:v>Consumer</x:v>
      </x:c>
      <x:c r="H300" s="25" t="str">
        <x:v>Mobile App</x:v>
      </x:c>
      <x:c r="I300" s="25" t="str">
        <x:v>Electronics</x:v>
      </x:c>
      <x:c r="J300" s="25" t="str">
        <x:v>Smartphone</x:v>
      </x:c>
      <x:c r="K300" s="25" t="n">
        <x:v>5</x:v>
      </x:c>
      <x:c r="L300" s="26" t="n">
        <x:v>13168</x:v>
      </x:c>
      <x:c r="M300" s="27" t="n">
        <x:v>0.1</x:v>
      </x:c>
      <x:c r="N300" s="26" t="n">
        <x:f>K300*L300</x:f>
        <x:v>65840</x:v>
      </x:c>
      <x:c r="O300" s="26" t="n">
        <x:f>N300*(1-M300)</x:f>
        <x:v>59256</x:v>
      </x:c>
      <x:c r="P300" s="26" t="n">
        <x:v>10905</x:v>
      </x:c>
      <x:c r="Q300" s="26" t="n">
        <x:f>K300*P300</x:f>
        <x:v>54525</x:v>
      </x:c>
      <x:c r="R300" s="26" t="n">
        <x:f>O300-Q300</x:f>
        <x:v>4731</x:v>
      </x:c>
      <x:c r="S300" s="28" t="n">
        <x:f>IF(O300=0,0,R300/O300)</x:f>
        <x:v>0.07984001620089105</x:v>
      </x:c>
      <x:c r="T300" s="25" t="str">
        <x:v>Debit Card</x:v>
      </x:c>
      <x:c r="U300" s="25" t="str">
        <x:v>Completed</x:v>
      </x:c>
      <x:c r="V300" s="29" t="n">
        <x:v>4</x:v>
      </x:c>
    </x:row>
    <x:row r="301">
      <x:c r="A301" s="23" t="str">
        <x:v>MAN-2025-00300</x:v>
      </x:c>
      <x:c r="B301" s="24" t="n">
        <x:v>45821</x:v>
      </x:c>
      <x:c r="C301" s="25" t="str">
        <x:v>Mansoura</x:v>
      </x:c>
      <x:c r="D301" s="25" t="str">
        <x:v>Mansoura City</x:v>
      </x:c>
      <x:c r="E301" s="25" t="str">
        <x:v>Youssef Fathy</x:v>
      </x:c>
      <x:c r="F301" s="25" t="str">
        <x:v>Salma Sayed</x:v>
      </x:c>
      <x:c r="G301" s="25" t="str">
        <x:v>Consumer</x:v>
      </x:c>
      <x:c r="H301" s="25" t="str">
        <x:v>Retail Store</x:v>
      </x:c>
      <x:c r="I301" s="25" t="str">
        <x:v>Office Supplies</x:v>
      </x:c>
      <x:c r="J301" s="25" t="str">
        <x:v>Ink Cartridge</x:v>
      </x:c>
      <x:c r="K301" s="25" t="n">
        <x:v>3</x:v>
      </x:c>
      <x:c r="L301" s="26" t="n">
        <x:v>873</x:v>
      </x:c>
      <x:c r="M301" s="27" t="n">
        <x:v>0.05</x:v>
      </x:c>
      <x:c r="N301" s="26" t="n">
        <x:f>K301*L301</x:f>
        <x:v>2619</x:v>
      </x:c>
      <x:c r="O301" s="26" t="n">
        <x:f>N301*(1-M301)</x:f>
        <x:v>2488.0499999999997</x:v>
      </x:c>
      <x:c r="P301" s="26" t="n">
        <x:v>580</x:v>
      </x:c>
      <x:c r="Q301" s="26" t="n">
        <x:f>K301*P301</x:f>
        <x:v>1740</x:v>
      </x:c>
      <x:c r="R301" s="26" t="n">
        <x:f>O301-Q301</x:f>
        <x:v>748.0499999999997</x:v>
      </x:c>
      <x:c r="S301" s="28" t="n">
        <x:f>IF(O301=0,0,R301/O301)</x:f>
        <x:v>0.30065714113462344</x:v>
      </x:c>
      <x:c r="T301" s="25" t="str">
        <x:v>Debit Card</x:v>
      </x:c>
      <x:c r="U301" s="25" t="str">
        <x:v>Completed</x:v>
      </x:c>
      <x:c r="V301" s="29" t="n">
        <x:v>3</x:v>
      </x:c>
    </x:row>
    <x:row r="302">
      <x:c r="A302" s="23" t="str">
        <x:v>MAN-2025-00301</x:v>
      </x:c>
      <x:c r="B302" s="24" t="n">
        <x:v>45932</x:v>
      </x:c>
      <x:c r="C302" s="25" t="str">
        <x:v>Mansoura</x:v>
      </x:c>
      <x:c r="D302" s="25" t="str">
        <x:v>Mansoura City</x:v>
      </x:c>
      <x:c r="E302" s="25" t="str">
        <x:v>Aya Farouk</x:v>
      </x:c>
      <x:c r="F302" s="25" t="str">
        <x:v>Mostafa Adel</x:v>
      </x:c>
      <x:c r="G302" s="25" t="str">
        <x:v>Consumer</x:v>
      </x:c>
      <x:c r="H302" s="25" t="str">
        <x:v>Retail Store</x:v>
      </x:c>
      <x:c r="I302" s="25" t="str">
        <x:v>Furniture</x:v>
      </x:c>
      <x:c r="J302" s="25" t="str">
        <x:v>Bookshelf</x:v>
      </x:c>
      <x:c r="K302" s="25" t="n">
        <x:v>1</x:v>
      </x:c>
      <x:c r="L302" s="26" t="n">
        <x:v>2861</x:v>
      </x:c>
      <x:c r="M302" s="27" t="n">
        <x:v>0.15</x:v>
      </x:c>
      <x:c r="N302" s="26" t="n">
        <x:f>K302*L302</x:f>
        <x:v>2861</x:v>
      </x:c>
      <x:c r="O302" s="26" t="n">
        <x:f>N302*(1-M302)</x:f>
        <x:v>2431.85</x:v>
      </x:c>
      <x:c r="P302" s="26" t="n">
        <x:v>2163</x:v>
      </x:c>
      <x:c r="Q302" s="26" t="n">
        <x:f>K302*P302</x:f>
        <x:v>2163</x:v>
      </x:c>
      <x:c r="R302" s="26" t="n">
        <x:f>O302-Q302</x:f>
        <x:v>268.8499999999999</x:v>
      </x:c>
      <x:c r="S302" s="28" t="n">
        <x:f>IF(O302=0,0,R302/O302)</x:f>
        <x:v>0.11055369368998907</x:v>
      </x:c>
      <x:c r="T302" s="25" t="str">
        <x:v>Debit Card</x:v>
      </x:c>
      <x:c r="U302" s="25" t="str">
        <x:v>Completed</x:v>
      </x:c>
      <x:c r="V302" s="29" t="n">
        <x:v>5</x:v>
      </x:c>
    </x:row>
    <x:row r="303">
      <x:c r="A303" s="23" t="str">
        <x:v>MAN-2025-00302</x:v>
      </x:c>
      <x:c r="B303" s="24" t="n">
        <x:v>45907</x:v>
      </x:c>
      <x:c r="C303" s="25" t="str">
        <x:v>Mansoura</x:v>
      </x:c>
      <x:c r="D303" s="25" t="str">
        <x:v>Aga</x:v>
      </x:c>
      <x:c r="E303" s="25" t="str">
        <x:v>Youssef Fathy</x:v>
      </x:c>
      <x:c r="F303" s="25" t="str">
        <x:v>Ahmed Samir</x:v>
      </x:c>
      <x:c r="G303" s="25" t="str">
        <x:v>Small Business</x:v>
      </x:c>
      <x:c r="H303" s="25" t="str">
        <x:v>Retail Store</x:v>
      </x:c>
      <x:c r="I303" s="25" t="str">
        <x:v>Furniture</x:v>
      </x:c>
      <x:c r="J303" s="25" t="str">
        <x:v>Bookshelf</x:v>
      </x:c>
      <x:c r="K303" s="25" t="n">
        <x:v>5</x:v>
      </x:c>
      <x:c r="L303" s="26" t="n">
        <x:v>2832</x:v>
      </x:c>
      <x:c r="M303" s="27" t="n">
        <x:v>0.1</x:v>
      </x:c>
      <x:c r="N303" s="26" t="n">
        <x:f>K303*L303</x:f>
        <x:v>14160</x:v>
      </x:c>
      <x:c r="O303" s="26" t="n">
        <x:f>N303*(1-M303)</x:f>
        <x:v>12744</x:v>
      </x:c>
      <x:c r="P303" s="26" t="n">
        <x:v>2258</x:v>
      </x:c>
      <x:c r="Q303" s="26" t="n">
        <x:f>K303*P303</x:f>
        <x:v>11290</x:v>
      </x:c>
      <x:c r="R303" s="26" t="n">
        <x:f>O303-Q303</x:f>
        <x:v>1454</x:v>
      </x:c>
      <x:c r="S303" s="28" t="n">
        <x:f>IF(O303=0,0,R303/O303)</x:f>
        <x:v>0.11409290646578782</x:v>
      </x:c>
      <x:c r="T303" s="25" t="str">
        <x:v>Credit Card</x:v>
      </x:c>
      <x:c r="U303" s="25" t="str">
        <x:v>Cancelled</x:v>
      </x:c>
      <x:c r="V303" s="29" t="n">
        <x:v>3</x:v>
      </x:c>
    </x:row>
    <x:row r="304">
      <x:c r="A304" s="23" t="str">
        <x:v>MAN-2025-00303</x:v>
      </x:c>
      <x:c r="B304" s="24" t="n">
        <x:v>45859</x:v>
      </x:c>
      <x:c r="C304" s="25" t="str">
        <x:v>Mansoura</x:v>
      </x:c>
      <x:c r="D304" s="25" t="str">
        <x:v>Sherbin</x:v>
      </x:c>
      <x:c r="E304" s="25" t="str">
        <x:v>Salma Mansour</x:v>
      </x:c>
      <x:c r="F304" s="25" t="str">
        <x:v>Karim Ibrahim</x:v>
      </x:c>
      <x:c r="G304" s="25" t="str">
        <x:v>Consumer</x:v>
      </x:c>
      <x:c r="H304" s="25" t="str">
        <x:v>Retail Store</x:v>
      </x:c>
      <x:c r="I304" s="25" t="str">
        <x:v>Home Appliances</x:v>
      </x:c>
      <x:c r="J304" s="25" t="str">
        <x:v>Air Conditioner</x:v>
      </x:c>
      <x:c r="K304" s="25" t="n">
        <x:v>2</x:v>
      </x:c>
      <x:c r="L304" s="26" t="n">
        <x:v>21686</x:v>
      </x:c>
      <x:c r="M304" s="27" t="n">
        <x:v>0.1</x:v>
      </x:c>
      <x:c r="N304" s="26" t="n">
        <x:f>K304*L304</x:f>
        <x:v>43372</x:v>
      </x:c>
      <x:c r="O304" s="26" t="n">
        <x:f>N304*(1-M304)</x:f>
        <x:v>39034.8</x:v>
      </x:c>
      <x:c r="P304" s="26" t="n">
        <x:v>17981</x:v>
      </x:c>
      <x:c r="Q304" s="26" t="n">
        <x:f>K304*P304</x:f>
        <x:v>35962</x:v>
      </x:c>
      <x:c r="R304" s="26" t="n">
        <x:f>O304-Q304</x:f>
        <x:v>3072.800000000003</x:v>
      </x:c>
      <x:c r="S304" s="28" t="n">
        <x:f>IF(O304=0,0,R304/O304)</x:f>
        <x:v>0.07871950157295549</x:v>
      </x:c>
      <x:c r="T304" s="25" t="str">
        <x:v>Bank Transfer</x:v>
      </x:c>
      <x:c r="U304" s="25" t="str">
        <x:v>Cancelled</x:v>
      </x:c>
      <x:c r="V304" s="29" t="n">
        <x:v>5</x:v>
      </x:c>
    </x:row>
    <x:row r="305">
      <x:c r="A305" s="23" t="str">
        <x:v>MAN-2025-00304</x:v>
      </x:c>
      <x:c r="B305" s="24" t="n">
        <x:v>45756</x:v>
      </x:c>
      <x:c r="C305" s="25" t="str">
        <x:v>Mansoura</x:v>
      </x:c>
      <x:c r="D305" s="25" t="str">
        <x:v>Talkha</x:v>
      </x:c>
      <x:c r="E305" s="25" t="str">
        <x:v>Aya Farouk</x:v>
      </x:c>
      <x:c r="F305" s="25" t="str">
        <x:v>Sara Fathy</x:v>
      </x:c>
      <x:c r="G305" s="25" t="str">
        <x:v>Consumer</x:v>
      </x:c>
      <x:c r="H305" s="25" t="str">
        <x:v>Retail Store</x:v>
      </x:c>
      <x:c r="I305" s="25" t="str">
        <x:v>Home Appliances</x:v>
      </x:c>
      <x:c r="J305" s="25" t="str">
        <x:v>Blender</x:v>
      </x:c>
      <x:c r="K305" s="25" t="n">
        <x:v>6</x:v>
      </x:c>
      <x:c r="L305" s="26" t="n">
        <x:v>1741</x:v>
      </x:c>
      <x:c r="M305" s="27" t="n">
        <x:v>0.05</x:v>
      </x:c>
      <x:c r="N305" s="26" t="n">
        <x:f>K305*L305</x:f>
        <x:v>10446</x:v>
      </x:c>
      <x:c r="O305" s="26" t="n">
        <x:f>N305*(1-M305)</x:f>
        <x:v>9923.699999999999</x:v>
      </x:c>
      <x:c r="P305" s="26" t="n">
        <x:v>1264</x:v>
      </x:c>
      <x:c r="Q305" s="26" t="n">
        <x:f>K305*P305</x:f>
        <x:v>7584</x:v>
      </x:c>
      <x:c r="R305" s="26" t="n">
        <x:f>O305-Q305</x:f>
        <x:v>2339.699999999999</x:v>
      </x:c>
      <x:c r="S305" s="28" t="n">
        <x:f>IF(O305=0,0,R305/O305)</x:f>
        <x:v>0.23576891683545442</x:v>
      </x:c>
      <x:c r="T305" s="25" t="str">
        <x:v>Bank Transfer</x:v>
      </x:c>
      <x:c r="U305" s="25" t="str">
        <x:v>Completed</x:v>
      </x:c>
      <x:c r="V305" s="29" t="n">
        <x:v>4</x:v>
      </x:c>
    </x:row>
    <x:row r="306">
      <x:c r="A306" s="23" t="str">
        <x:v>MAN-2025-00305</x:v>
      </x:c>
      <x:c r="B306" s="24" t="n">
        <x:v>45935</x:v>
      </x:c>
      <x:c r="C306" s="25" t="str">
        <x:v>Mansoura</x:v>
      </x:c>
      <x:c r="D306" s="25" t="str">
        <x:v>Mit Ghamr</x:v>
      </x:c>
      <x:c r="E306" s="25" t="str">
        <x:v>Ali Sayed</x:v>
      </x:c>
      <x:c r="F306" s="25" t="str">
        <x:v>Farah Adel</x:v>
      </x:c>
      <x:c r="G306" s="25" t="str">
        <x:v>Corporate</x:v>
      </x:c>
      <x:c r="H306" s="25" t="str">
        <x:v>Mobile App</x:v>
      </x:c>
      <x:c r="I306" s="25" t="str">
        <x:v>Home Appliances</x:v>
      </x:c>
      <x:c r="J306" s="25" t="str">
        <x:v>Microwave</x:v>
      </x:c>
      <x:c r="K306" s="25" t="n">
        <x:v>2</x:v>
      </x:c>
      <x:c r="L306" s="26" t="n">
        <x:v>5407</x:v>
      </x:c>
      <x:c r="M306" s="27" t="n">
        <x:v>0.1</x:v>
      </x:c>
      <x:c r="N306" s="26" t="n">
        <x:f>K306*L306</x:f>
        <x:v>10814</x:v>
      </x:c>
      <x:c r="O306" s="26" t="n">
        <x:f>N306*(1-M306)</x:f>
        <x:v>9732.6</x:v>
      </x:c>
      <x:c r="P306" s="26" t="n">
        <x:v>4351</x:v>
      </x:c>
      <x:c r="Q306" s="26" t="n">
        <x:f>K306*P306</x:f>
        <x:v>8702</x:v>
      </x:c>
      <x:c r="R306" s="26" t="n">
        <x:f>O306-Q306</x:f>
        <x:v>1030.6000000000004</x:v>
      </x:c>
      <x:c r="S306" s="28" t="n">
        <x:f>IF(O306=0,0,R306/O306)</x:f>
        <x:v>0.10589153977354461</x:v>
      </x:c>
      <x:c r="T306" s="25" t="str">
        <x:v>Credit Card</x:v>
      </x:c>
      <x:c r="U306" s="25" t="str">
        <x:v>Cancelled</x:v>
      </x:c>
      <x:c r="V306" s="29" t="n">
        <x:v>4</x:v>
      </x:c>
    </x:row>
    <x:row r="307">
      <x:c r="A307" s="23" t="str">
        <x:v>MAN-2025-00306</x:v>
      </x:c>
      <x:c r="B307" s="24" t="n">
        <x:v>45787</x:v>
      </x:c>
      <x:c r="C307" s="25" t="str">
        <x:v>Mansoura</x:v>
      </x:c>
      <x:c r="D307" s="25" t="str">
        <x:v>Aga</x:v>
      </x:c>
      <x:c r="E307" s="25" t="str">
        <x:v>Youssef Fathy</x:v>
      </x:c>
      <x:c r="F307" s="25" t="str">
        <x:v>Karim Tarek</x:v>
      </x:c>
      <x:c r="G307" s="25" t="str">
        <x:v>Consumer</x:v>
      </x:c>
      <x:c r="H307" s="25" t="str">
        <x:v>Retail Store</x:v>
      </x:c>
      <x:c r="I307" s="25" t="str">
        <x:v>Home Appliances</x:v>
      </x:c>
      <x:c r="J307" s="25" t="str">
        <x:v>Blender</x:v>
      </x:c>
      <x:c r="K307" s="25" t="n">
        <x:v>4</x:v>
      </x:c>
      <x:c r="L307" s="26" t="n">
        <x:v>1630</x:v>
      </x:c>
      <x:c r="M307" s="27" t="n">
        <x:v>0</x:v>
      </x:c>
      <x:c r="N307" s="26" t="n">
        <x:f>K307*L307</x:f>
        <x:v>6520</x:v>
      </x:c>
      <x:c r="O307" s="26" t="n">
        <x:f>N307*(1-M307)</x:f>
        <x:v>6520</x:v>
      </x:c>
      <x:c r="P307" s="26" t="n">
        <x:v>1264</x:v>
      </x:c>
      <x:c r="Q307" s="26" t="n">
        <x:f>K307*P307</x:f>
        <x:v>5056</x:v>
      </x:c>
      <x:c r="R307" s="26" t="n">
        <x:f>O307-Q307</x:f>
        <x:v>1464</x:v>
      </x:c>
      <x:c r="S307" s="28" t="n">
        <x:f>IF(O307=0,0,R307/O307)</x:f>
        <x:v>0.2245398773006135</x:v>
      </x:c>
      <x:c r="T307" s="25" t="str">
        <x:v>Cash</x:v>
      </x:c>
      <x:c r="U307" s="25" t="str">
        <x:v>Completed</x:v>
      </x:c>
      <x:c r="V307" s="29" t="n">
        <x:v>3</x:v>
      </x:c>
    </x:row>
    <x:row r="308">
      <x:c r="A308" s="23" t="str">
        <x:v>MAN-2025-00307</x:v>
      </x:c>
      <x:c r="B308" s="24" t="n">
        <x:v>45982</x:v>
      </x:c>
      <x:c r="C308" s="25" t="str">
        <x:v>Mansoura</x:v>
      </x:c>
      <x:c r="D308" s="25" t="str">
        <x:v>Mit Ghamr</x:v>
      </x:c>
      <x:c r="E308" s="25" t="str">
        <x:v>Aya Farouk</x:v>
      </x:c>
      <x:c r="F308" s="25" t="str">
        <x:v>Youssef Mansour</x:v>
      </x:c>
      <x:c r="G308" s="25" t="str">
        <x:v>Corporate</x:v>
      </x:c>
      <x:c r="H308" s="25" t="str">
        <x:v>Retail Store</x:v>
      </x:c>
      <x:c r="I308" s="25" t="str">
        <x:v>Home Appliances</x:v>
      </x:c>
      <x:c r="J308" s="25" t="str">
        <x:v>Air Conditioner</x:v>
      </x:c>
      <x:c r="K308" s="25" t="n">
        <x:v>1</x:v>
      </x:c>
      <x:c r="L308" s="26" t="n">
        <x:v>20694</x:v>
      </x:c>
      <x:c r="M308" s="27" t="n">
        <x:v>0</x:v>
      </x:c>
      <x:c r="N308" s="26" t="n">
        <x:f>K308*L308</x:f>
        <x:v>20694</x:v>
      </x:c>
      <x:c r="O308" s="26" t="n">
        <x:f>N308*(1-M308)</x:f>
        <x:v>20694</x:v>
      </x:c>
      <x:c r="P308" s="26" t="n">
        <x:v>18178</x:v>
      </x:c>
      <x:c r="Q308" s="26" t="n">
        <x:f>K308*P308</x:f>
        <x:v>18178</x:v>
      </x:c>
      <x:c r="R308" s="26" t="n">
        <x:f>O308-Q308</x:f>
        <x:v>2516</x:v>
      </x:c>
      <x:c r="S308" s="28" t="n">
        <x:f>IF(O308=0,0,R308/O308)</x:f>
        <x:v>0.1215811346283947</x:v>
      </x:c>
      <x:c r="T308" s="25" t="str">
        <x:v>Debit Card</x:v>
      </x:c>
      <x:c r="U308" s="25" t="str">
        <x:v>Returned</x:v>
      </x:c>
      <x:c r="V308" s="29" t="n">
        <x:v>4</x:v>
      </x:c>
    </x:row>
    <x:row r="309">
      <x:c r="A309" s="23" t="str">
        <x:v>MAN-2025-00308</x:v>
      </x:c>
      <x:c r="B309" s="24" t="n">
        <x:v>45831</x:v>
      </x:c>
      <x:c r="C309" s="25" t="str">
        <x:v>Mansoura</x:v>
      </x:c>
      <x:c r="D309" s="25" t="str">
        <x:v>Talkha</x:v>
      </x:c>
      <x:c r="E309" s="25" t="str">
        <x:v>Salma Mansour</x:v>
      </x:c>
      <x:c r="F309" s="25" t="str">
        <x:v>Farah Sayed</x:v>
      </x:c>
      <x:c r="G309" s="25" t="str">
        <x:v>Corporate</x:v>
      </x:c>
      <x:c r="H309" s="25" t="str">
        <x:v>Phone Order</x:v>
      </x:c>
      <x:c r="I309" s="25" t="str">
        <x:v>Electronics</x:v>
      </x:c>
      <x:c r="J309" s="25" t="str">
        <x:v>Smartphone</x:v>
      </x:c>
      <x:c r="K309" s="25" t="n">
        <x:v>1</x:v>
      </x:c>
      <x:c r="L309" s="26" t="n">
        <x:v>13306</x:v>
      </x:c>
      <x:c r="M309" s="27" t="n">
        <x:v>0.05</x:v>
      </x:c>
      <x:c r="N309" s="26" t="n">
        <x:f>K309*L309</x:f>
        <x:v>13306</x:v>
      </x:c>
      <x:c r="O309" s="26" t="n">
        <x:f>N309*(1-M309)</x:f>
        <x:v>12640.699999999999</x:v>
      </x:c>
      <x:c r="P309" s="26" t="n">
        <x:v>10518</x:v>
      </x:c>
      <x:c r="Q309" s="26" t="n">
        <x:f>K309*P309</x:f>
        <x:v>10518</x:v>
      </x:c>
      <x:c r="R309" s="26" t="n">
        <x:f>O309-Q309</x:f>
        <x:v>2122.699999999999</x:v>
      </x:c>
      <x:c r="S309" s="28" t="n">
        <x:f>IF(O309=0,0,R309/O309)</x:f>
        <x:v>0.16792582689249796</x:v>
      </x:c>
      <x:c r="T309" s="25" t="str">
        <x:v>Cash</x:v>
      </x:c>
      <x:c r="U309" s="25" t="str">
        <x:v>Completed</x:v>
      </x:c>
      <x:c r="V309" s="29" t="n">
        <x:v>3</x:v>
      </x:c>
    </x:row>
    <x:row r="310">
      <x:c r="A310" s="23" t="str">
        <x:v>MAN-2025-00309</x:v>
      </x:c>
      <x:c r="B310" s="24" t="n">
        <x:v>45859</x:v>
      </x:c>
      <x:c r="C310" s="25" t="str">
        <x:v>Mansoura</x:v>
      </x:c>
      <x:c r="D310" s="25" t="str">
        <x:v>Aga</x:v>
      </x:c>
      <x:c r="E310" s="25" t="str">
        <x:v>Aya Farouk</x:v>
      </x:c>
      <x:c r="F310" s="25" t="str">
        <x:v>Farah Mansour</x:v>
      </x:c>
      <x:c r="G310" s="25" t="str">
        <x:v>Corporate</x:v>
      </x:c>
      <x:c r="H310" s="25" t="str">
        <x:v>Mobile App</x:v>
      </x:c>
      <x:c r="I310" s="25" t="str">
        <x:v>Furniture</x:v>
      </x:c>
      <x:c r="J310" s="25" t="str">
        <x:v>Office Chair</x:v>
      </x:c>
      <x:c r="K310" s="25" t="n">
        <x:v>6</x:v>
      </x:c>
      <x:c r="L310" s="26" t="n">
        <x:v>3727</x:v>
      </x:c>
      <x:c r="M310" s="27" t="n">
        <x:v>0</x:v>
      </x:c>
      <x:c r="N310" s="26" t="n">
        <x:f>K310*L310</x:f>
        <x:v>22362</x:v>
      </x:c>
      <x:c r="O310" s="26" t="n">
        <x:f>N310*(1-M310)</x:f>
        <x:v>22362</x:v>
      </x:c>
      <x:c r="P310" s="26" t="n">
        <x:v>2937</x:v>
      </x:c>
      <x:c r="Q310" s="26" t="n">
        <x:f>K310*P310</x:f>
        <x:v>17622</x:v>
      </x:c>
      <x:c r="R310" s="26" t="n">
        <x:f>O310-Q310</x:f>
        <x:v>4740</x:v>
      </x:c>
      <x:c r="S310" s="28" t="n">
        <x:f>IF(O310=0,0,R310/O310)</x:f>
        <x:v>0.21196672927287363</x:v>
      </x:c>
      <x:c r="T310" s="25" t="str">
        <x:v>Credit Card</x:v>
      </x:c>
      <x:c r="U310" s="25" t="str">
        <x:v>Completed</x:v>
      </x:c>
      <x:c r="V310" s="29" t="n">
        <x:v>4</x:v>
      </x:c>
    </x:row>
    <x:row r="311">
      <x:c r="A311" s="23" t="str">
        <x:v>MAN-2025-00310</x:v>
      </x:c>
      <x:c r="B311" s="24" t="n">
        <x:v>45924</x:v>
      </x:c>
      <x:c r="C311" s="25" t="str">
        <x:v>Mansoura</x:v>
      </x:c>
      <x:c r="D311" s="25" t="str">
        <x:v>Mit Ghamr</x:v>
      </x:c>
      <x:c r="E311" s="25" t="str">
        <x:v>Youssef Fathy</x:v>
      </x:c>
      <x:c r="F311" s="25" t="str">
        <x:v>Hana Sayed</x:v>
      </x:c>
      <x:c r="G311" s="25" t="str">
        <x:v>Corporate</x:v>
      </x:c>
      <x:c r="H311" s="25" t="str">
        <x:v>Retail Store</x:v>
      </x:c>
      <x:c r="I311" s="25" t="str">
        <x:v>Home Appliances</x:v>
      </x:c>
      <x:c r="J311" s="25" t="str">
        <x:v>Air Conditioner</x:v>
      </x:c>
      <x:c r="K311" s="25" t="n">
        <x:v>3</x:v>
      </x:c>
      <x:c r="L311" s="26" t="n">
        <x:v>20844</x:v>
      </x:c>
      <x:c r="M311" s="27" t="n">
        <x:v>0.15</x:v>
      </x:c>
      <x:c r="N311" s="26" t="n">
        <x:f>K311*L311</x:f>
        <x:v>62532</x:v>
      </x:c>
      <x:c r="O311" s="26" t="n">
        <x:f>N311*(1-M311)</x:f>
        <x:v>53152.2</x:v>
      </x:c>
      <x:c r="P311" s="26" t="n">
        <x:v>17221</x:v>
      </x:c>
      <x:c r="Q311" s="26" t="n">
        <x:f>K311*P311</x:f>
        <x:v>51663</x:v>
      </x:c>
      <x:c r="R311" s="26" t="n">
        <x:f>O311-Q311</x:f>
        <x:v>1489.199999999997</x:v>
      </x:c>
      <x:c r="S311" s="28" t="n">
        <x:f>IF(O311=0,0,R311/O311)</x:f>
        <x:v>0.02801765496066009</x:v>
      </x:c>
      <x:c r="T311" s="25" t="str">
        <x:v>Credit Card</x:v>
      </x:c>
      <x:c r="U311" s="25" t="str">
        <x:v>Returned</x:v>
      </x:c>
      <x:c r="V311" s="29" t="n">
        <x:v>5</x:v>
      </x:c>
    </x:row>
    <x:row r="312">
      <x:c r="A312" s="23" t="str">
        <x:v>MAN-2025-00311</x:v>
      </x:c>
      <x:c r="B312" s="24" t="n">
        <x:v>45960</x:v>
      </x:c>
      <x:c r="C312" s="25" t="str">
        <x:v>Mansoura</x:v>
      </x:c>
      <x:c r="D312" s="25" t="str">
        <x:v>Mansoura City</x:v>
      </x:c>
      <x:c r="E312" s="25" t="str">
        <x:v>Salma Mansour</x:v>
      </x:c>
      <x:c r="F312" s="25" t="str">
        <x:v>Mostafa Gamal</x:v>
      </x:c>
      <x:c r="G312" s="25" t="str">
        <x:v>Consumer</x:v>
      </x:c>
      <x:c r="H312" s="25" t="str">
        <x:v>Mobile App</x:v>
      </x:c>
      <x:c r="I312" s="25" t="str">
        <x:v>Home Appliances</x:v>
      </x:c>
      <x:c r="J312" s="25" t="str">
        <x:v>Blender</x:v>
      </x:c>
      <x:c r="K312" s="25" t="n">
        <x:v>6</x:v>
      </x:c>
      <x:c r="L312" s="26" t="n">
        <x:v>1845</x:v>
      </x:c>
      <x:c r="M312" s="27" t="n">
        <x:v>0</x:v>
      </x:c>
      <x:c r="N312" s="26" t="n">
        <x:f>K312*L312</x:f>
        <x:v>11070</x:v>
      </x:c>
      <x:c r="O312" s="26" t="n">
        <x:f>N312*(1-M312)</x:f>
        <x:v>11070</x:v>
      </x:c>
      <x:c r="P312" s="26" t="n">
        <x:v>1264</x:v>
      </x:c>
      <x:c r="Q312" s="26" t="n">
        <x:f>K312*P312</x:f>
        <x:v>7584</x:v>
      </x:c>
      <x:c r="R312" s="26" t="n">
        <x:f>O312-Q312</x:f>
        <x:v>3486</x:v>
      </x:c>
      <x:c r="S312" s="28" t="n">
        <x:f>IF(O312=0,0,R312/O312)</x:f>
        <x:v>0.31490514905149053</x:v>
      </x:c>
      <x:c r="T312" s="25" t="str">
        <x:v>Cash</x:v>
      </x:c>
      <x:c r="U312" s="25" t="str">
        <x:v>Completed</x:v>
      </x:c>
      <x:c r="V312" s="29" t="n">
        <x:v>5</x:v>
      </x:c>
    </x:row>
    <x:row r="313">
      <x:c r="A313" s="23" t="str">
        <x:v>MAN-2025-00312</x:v>
      </x:c>
      <x:c r="B313" s="24" t="n">
        <x:v>45705</x:v>
      </x:c>
      <x:c r="C313" s="25" t="str">
        <x:v>Mansoura</x:v>
      </x:c>
      <x:c r="D313" s="25" t="str">
        <x:v>Mansoura City</x:v>
      </x:c>
      <x:c r="E313" s="25" t="str">
        <x:v>Salma Mansour</x:v>
      </x:c>
      <x:c r="F313" s="25" t="str">
        <x:v>Karim Hassan</x:v>
      </x:c>
      <x:c r="G313" s="25" t="str">
        <x:v>Corporate</x:v>
      </x:c>
      <x:c r="H313" s="25" t="str">
        <x:v>Mobile App</x:v>
      </x:c>
      <x:c r="I313" s="25" t="str">
        <x:v>Office Supplies</x:v>
      </x:c>
      <x:c r="J313" s="25" t="str">
        <x:v>Ink Cartridge</x:v>
      </x:c>
      <x:c r="K313" s="25" t="n">
        <x:v>2</x:v>
      </x:c>
      <x:c r="L313" s="26" t="n">
        <x:v>794</x:v>
      </x:c>
      <x:c r="M313" s="27" t="n">
        <x:v>0</x:v>
      </x:c>
      <x:c r="N313" s="26" t="n">
        <x:f>K313*L313</x:f>
        <x:v>1588</x:v>
      </x:c>
      <x:c r="O313" s="26" t="n">
        <x:f>N313*(1-M313)</x:f>
        <x:v>1588</x:v>
      </x:c>
      <x:c r="P313" s="26" t="n">
        <x:v>559</x:v>
      </x:c>
      <x:c r="Q313" s="26" t="n">
        <x:f>K313*P313</x:f>
        <x:v>1118</x:v>
      </x:c>
      <x:c r="R313" s="26" t="n">
        <x:f>O313-Q313</x:f>
        <x:v>470</x:v>
      </x:c>
      <x:c r="S313" s="28" t="n">
        <x:f>IF(O313=0,0,R313/O313)</x:f>
        <x:v>0.2959697732997481</x:v>
      </x:c>
      <x:c r="T313" s="25" t="str">
        <x:v>Debit Card</x:v>
      </x:c>
      <x:c r="U313" s="25" t="str">
        <x:v>Completed</x:v>
      </x:c>
      <x:c r="V313" s="29" t="n">
        <x:v>4</x:v>
      </x:c>
    </x:row>
    <x:row r="314">
      <x:c r="A314" s="23" t="str">
        <x:v>MAN-2025-00313</x:v>
      </x:c>
      <x:c r="B314" s="24" t="n">
        <x:v>46018</x:v>
      </x:c>
      <x:c r="C314" s="25" t="str">
        <x:v>Mansoura</x:v>
      </x:c>
      <x:c r="D314" s="25" t="str">
        <x:v>Talkha</x:v>
      </x:c>
      <x:c r="E314" s="25" t="str">
        <x:v>Aya Farouk</x:v>
      </x:c>
      <x:c r="F314" s="25" t="str">
        <x:v>Karim Tarek</x:v>
      </x:c>
      <x:c r="G314" s="25" t="str">
        <x:v>Consumer</x:v>
      </x:c>
      <x:c r="H314" s="25" t="str">
        <x:v>Retail Store</x:v>
      </x:c>
      <x:c r="I314" s="25" t="str">
        <x:v>Office Supplies</x:v>
      </x:c>
      <x:c r="J314" s="25" t="str">
        <x:v>Printer</x:v>
      </x:c>
      <x:c r="K314" s="25" t="n">
        <x:v>4</x:v>
      </x:c>
      <x:c r="L314" s="26" t="n">
        <x:v>6499</x:v>
      </x:c>
      <x:c r="M314" s="27" t="n">
        <x:v>0</x:v>
      </x:c>
      <x:c r="N314" s="26" t="n">
        <x:f>K314*L314</x:f>
        <x:v>25996</x:v>
      </x:c>
      <x:c r="O314" s="26" t="n">
        <x:f>N314*(1-M314)</x:f>
        <x:v>25996</x:v>
      </x:c>
      <x:c r="P314" s="26" t="n">
        <x:v>5233</x:v>
      </x:c>
      <x:c r="Q314" s="26" t="n">
        <x:f>K314*P314</x:f>
        <x:v>20932</x:v>
      </x:c>
      <x:c r="R314" s="26" t="n">
        <x:f>O314-Q314</x:f>
        <x:v>5064</x:v>
      </x:c>
      <x:c r="S314" s="28" t="n">
        <x:f>IF(O314=0,0,R314/O314)</x:f>
        <x:v>0.19479919987690414</x:v>
      </x:c>
      <x:c r="T314" s="25" t="str">
        <x:v>Credit Card</x:v>
      </x:c>
      <x:c r="U314" s="25" t="str">
        <x:v>Completed</x:v>
      </x:c>
      <x:c r="V314" s="29" t="n">
        <x:v>5</x:v>
      </x:c>
    </x:row>
    <x:row r="315">
      <x:c r="A315" s="23" t="str">
        <x:v>MAN-2025-00314</x:v>
      </x:c>
      <x:c r="B315" s="24" t="n">
        <x:v>45702</x:v>
      </x:c>
      <x:c r="C315" s="25" t="str">
        <x:v>Mansoura</x:v>
      </x:c>
      <x:c r="D315" s="25" t="str">
        <x:v>Aga</x:v>
      </x:c>
      <x:c r="E315" s="25" t="str">
        <x:v>Ali Sayed</x:v>
      </x:c>
      <x:c r="F315" s="25" t="str">
        <x:v>Salma Nasser</x:v>
      </x:c>
      <x:c r="G315" s="25" t="str">
        <x:v>Small Business</x:v>
      </x:c>
      <x:c r="H315" s="25" t="str">
        <x:v>Phone Order</x:v>
      </x:c>
      <x:c r="I315" s="25" t="str">
        <x:v>Office Supplies</x:v>
      </x:c>
      <x:c r="J315" s="25" t="str">
        <x:v>Printer</x:v>
      </x:c>
      <x:c r="K315" s="25" t="n">
        <x:v>4</x:v>
      </x:c>
      <x:c r="L315" s="26" t="n">
        <x:v>6556</x:v>
      </x:c>
      <x:c r="M315" s="27" t="n">
        <x:v>0.05</x:v>
      </x:c>
      <x:c r="N315" s="26" t="n">
        <x:f>K315*L315</x:f>
        <x:v>26224</x:v>
      </x:c>
      <x:c r="O315" s="26" t="n">
        <x:f>N315*(1-M315)</x:f>
        <x:v>24912.8</x:v>
      </x:c>
      <x:c r="P315" s="26" t="n">
        <x:v>5555</x:v>
      </x:c>
      <x:c r="Q315" s="26" t="n">
        <x:f>K315*P315</x:f>
        <x:v>22220</x:v>
      </x:c>
      <x:c r="R315" s="26" t="n">
        <x:f>O315-Q315</x:f>
        <x:v>2692.7999999999993</x:v>
      </x:c>
      <x:c r="S315" s="28" t="n">
        <x:f>IF(O315=0,0,R315/O315)</x:f>
        <x:v>0.10808901448251498</x:v>
      </x:c>
      <x:c r="T315" s="25" t="str">
        <x:v>Cash</x:v>
      </x:c>
      <x:c r="U315" s="25" t="str">
        <x:v>Returned</x:v>
      </x:c>
      <x:c r="V315" s="29" t="n">
        <x:v>4</x:v>
      </x:c>
    </x:row>
    <x:row r="316">
      <x:c r="A316" s="23" t="str">
        <x:v>MAN-2025-00315</x:v>
      </x:c>
      <x:c r="B316" s="24" t="n">
        <x:v>45754</x:v>
      </x:c>
      <x:c r="C316" s="25" t="str">
        <x:v>Mansoura</x:v>
      </x:c>
      <x:c r="D316" s="25" t="str">
        <x:v>Mit Ghamr</x:v>
      </x:c>
      <x:c r="E316" s="25" t="str">
        <x:v>Aya Farouk</x:v>
      </x:c>
      <x:c r="F316" s="25" t="str">
        <x:v>Sara Adel</x:v>
      </x:c>
      <x:c r="G316" s="25" t="str">
        <x:v>Corporate</x:v>
      </x:c>
      <x:c r="H316" s="25" t="str">
        <x:v>Website</x:v>
      </x:c>
      <x:c r="I316" s="25" t="str">
        <x:v>Office Supplies</x:v>
      </x:c>
      <x:c r="J316" s="25" t="str">
        <x:v>Ink Cartridge</x:v>
      </x:c>
      <x:c r="K316" s="25" t="n">
        <x:v>1</x:v>
      </x:c>
      <x:c r="L316" s="26" t="n">
        <x:v>883</x:v>
      </x:c>
      <x:c r="M316" s="27" t="n">
        <x:v>0.1</x:v>
      </x:c>
      <x:c r="N316" s="26" t="n">
        <x:f>K316*L316</x:f>
        <x:v>883</x:v>
      </x:c>
      <x:c r="O316" s="26" t="n">
        <x:f>N316*(1-M316)</x:f>
        <x:v>794.7</x:v>
      </x:c>
      <x:c r="P316" s="26" t="n">
        <x:v>554</x:v>
      </x:c>
      <x:c r="Q316" s="26" t="n">
        <x:f>K316*P316</x:f>
        <x:v>554</x:v>
      </x:c>
      <x:c r="R316" s="26" t="n">
        <x:f>O316-Q316</x:f>
        <x:v>240.70000000000005</x:v>
      </x:c>
      <x:c r="S316" s="28" t="n">
        <x:f>IF(O316=0,0,R316/O316)</x:f>
        <x:v>0.30288159053730973</x:v>
      </x:c>
      <x:c r="T316" s="25" t="str">
        <x:v>Digital Wallet</x:v>
      </x:c>
      <x:c r="U316" s="25" t="str">
        <x:v>Returned</x:v>
      </x:c>
      <x:c r="V316" s="29" t="n">
        <x:v>4</x:v>
      </x:c>
    </x:row>
    <x:row r="317">
      <x:c r="A317" s="23" t="str">
        <x:v>MAN-2025-00316</x:v>
      </x:c>
      <x:c r="B317" s="24" t="n">
        <x:v>45788</x:v>
      </x:c>
      <x:c r="C317" s="25" t="str">
        <x:v>Mansoura</x:v>
      </x:c>
      <x:c r="D317" s="25" t="str">
        <x:v>Mit Ghamr</x:v>
      </x:c>
      <x:c r="E317" s="25" t="str">
        <x:v>Youssef Fathy</x:v>
      </x:c>
      <x:c r="F317" s="25" t="str">
        <x:v>Nour Farouk</x:v>
      </x:c>
      <x:c r="G317" s="25" t="str">
        <x:v>Consumer</x:v>
      </x:c>
      <x:c r="H317" s="25" t="str">
        <x:v>Mobile App</x:v>
      </x:c>
      <x:c r="I317" s="25" t="str">
        <x:v>Office Supplies</x:v>
      </x:c>
      <x:c r="J317" s="25" t="str">
        <x:v>Calculator</x:v>
      </x:c>
      <x:c r="K317" s="25" t="n">
        <x:v>1</x:v>
      </x:c>
      <x:c r="L317" s="26" t="n">
        <x:v>455</x:v>
      </x:c>
      <x:c r="M317" s="27" t="n">
        <x:v>0.1</x:v>
      </x:c>
      <x:c r="N317" s="26" t="n">
        <x:f>K317*L317</x:f>
        <x:v>455</x:v>
      </x:c>
      <x:c r="O317" s="26" t="n">
        <x:f>N317*(1-M317)</x:f>
        <x:v>409.5</x:v>
      </x:c>
      <x:c r="P317" s="26" t="n">
        <x:v>288</x:v>
      </x:c>
      <x:c r="Q317" s="26" t="n">
        <x:f>K317*P317</x:f>
        <x:v>288</x:v>
      </x:c>
      <x:c r="R317" s="26" t="n">
        <x:f>O317-Q317</x:f>
        <x:v>121.5</x:v>
      </x:c>
      <x:c r="S317" s="28" t="n">
        <x:f>IF(O317=0,0,R317/O317)</x:f>
        <x:v>0.2967032967032967</x:v>
      </x:c>
      <x:c r="T317" s="25" t="str">
        <x:v>Bank Transfer</x:v>
      </x:c>
      <x:c r="U317" s="25" t="str">
        <x:v>Completed</x:v>
      </x:c>
      <x:c r="V317" s="29" t="n">
        <x:v>3</x:v>
      </x:c>
    </x:row>
    <x:row r="318">
      <x:c r="A318" s="23" t="str">
        <x:v>MAN-2025-00317</x:v>
      </x:c>
      <x:c r="B318" s="24" t="n">
        <x:v>45870</x:v>
      </x:c>
      <x:c r="C318" s="25" t="str">
        <x:v>Mansoura</x:v>
      </x:c>
      <x:c r="D318" s="25" t="str">
        <x:v>Mansoura City</x:v>
      </x:c>
      <x:c r="E318" s="25" t="str">
        <x:v>Ali Sayed</x:v>
      </x:c>
      <x:c r="F318" s="25" t="str">
        <x:v>Mostafa Ibrahim</x:v>
      </x:c>
      <x:c r="G318" s="25" t="str">
        <x:v>Consumer</x:v>
      </x:c>
      <x:c r="H318" s="25" t="str">
        <x:v>Mobile App</x:v>
      </x:c>
      <x:c r="I318" s="25" t="str">
        <x:v>Furniture</x:v>
      </x:c>
      <x:c r="J318" s="25" t="str">
        <x:v>Bookshelf</x:v>
      </x:c>
      <x:c r="K318" s="25" t="n">
        <x:v>3</x:v>
      </x:c>
      <x:c r="L318" s="26" t="n">
        <x:v>2938</x:v>
      </x:c>
      <x:c r="M318" s="27" t="n">
        <x:v>0.1</x:v>
      </x:c>
      <x:c r="N318" s="26" t="n">
        <x:f>K318*L318</x:f>
        <x:v>8814</x:v>
      </x:c>
      <x:c r="O318" s="26" t="n">
        <x:f>N318*(1-M318)</x:f>
        <x:v>7932.6</x:v>
      </x:c>
      <x:c r="P318" s="26" t="n">
        <x:v>2274</x:v>
      </x:c>
      <x:c r="Q318" s="26" t="n">
        <x:f>K318*P318</x:f>
        <x:v>6822</x:v>
      </x:c>
      <x:c r="R318" s="26" t="n">
        <x:f>O318-Q318</x:f>
        <x:v>1110.6000000000004</x:v>
      </x:c>
      <x:c r="S318" s="28" t="n">
        <x:f>IF(O318=0,0,R318/O318)</x:f>
        <x:v>0.14000453823462677</x:v>
      </x:c>
      <x:c r="T318" s="25" t="str">
        <x:v>Cash</x:v>
      </x:c>
      <x:c r="U318" s="25" t="str">
        <x:v>Completed</x:v>
      </x:c>
      <x:c r="V318" s="29" t="n">
        <x:v>5</x:v>
      </x:c>
    </x:row>
    <x:row r="319">
      <x:c r="A319" s="23" t="str">
        <x:v>MAN-2025-00318</x:v>
      </x:c>
      <x:c r="B319" s="24" t="n">
        <x:v>45721</x:v>
      </x:c>
      <x:c r="C319" s="25" t="str">
        <x:v>Mansoura</x:v>
      </x:c>
      <x:c r="D319" s="25" t="str">
        <x:v>Mansoura City</x:v>
      </x:c>
      <x:c r="E319" s="25" t="str">
        <x:v>Ali Sayed</x:v>
      </x:c>
      <x:c r="F319" s="25" t="str">
        <x:v>Mohamed Tarek</x:v>
      </x:c>
      <x:c r="G319" s="25" t="str">
        <x:v>Corporate</x:v>
      </x:c>
      <x:c r="H319" s="25" t="str">
        <x:v>Website</x:v>
      </x:c>
      <x:c r="I319" s="25" t="str">
        <x:v>Furniture</x:v>
      </x:c>
      <x:c r="J319" s="25" t="str">
        <x:v>Desk</x:v>
      </x:c>
      <x:c r="K319" s="25" t="n">
        <x:v>4</x:v>
      </x:c>
      <x:c r="L319" s="26" t="n">
        <x:v>4962</x:v>
      </x:c>
      <x:c r="M319" s="27" t="n">
        <x:v>0</x:v>
      </x:c>
      <x:c r="N319" s="26" t="n">
        <x:f>K319*L319</x:f>
        <x:v>19848</x:v>
      </x:c>
      <x:c r="O319" s="26" t="n">
        <x:f>N319*(1-M319)</x:f>
        <x:v>19848</x:v>
      </x:c>
      <x:c r="P319" s="26" t="n">
        <x:v>3966</x:v>
      </x:c>
      <x:c r="Q319" s="26" t="n">
        <x:f>K319*P319</x:f>
        <x:v>15864</x:v>
      </x:c>
      <x:c r="R319" s="26" t="n">
        <x:f>O319-Q319</x:f>
        <x:v>3984</x:v>
      </x:c>
      <x:c r="S319" s="28" t="n">
        <x:f>IF(O319=0,0,R319/O319)</x:f>
        <x:v>0.2007255139056832</x:v>
      </x:c>
      <x:c r="T319" s="25" t="str">
        <x:v>Bank Transfer</x:v>
      </x:c>
      <x:c r="U319" s="25" t="str">
        <x:v>Returned</x:v>
      </x:c>
      <x:c r="V319" s="29" t="n">
        <x:v>3</x:v>
      </x:c>
    </x:row>
    <x:row r="320">
      <x:c r="A320" s="23" t="str">
        <x:v>MAN-2025-00319</x:v>
      </x:c>
      <x:c r="B320" s="24" t="n">
        <x:v>45980</x:v>
      </x:c>
      <x:c r="C320" s="25" t="str">
        <x:v>Mansoura</x:v>
      </x:c>
      <x:c r="D320" s="25" t="str">
        <x:v>Talkha</x:v>
      </x:c>
      <x:c r="E320" s="25" t="str">
        <x:v>Youssef Fathy</x:v>
      </x:c>
      <x:c r="F320" s="25" t="str">
        <x:v>Farah Farouk</x:v>
      </x:c>
      <x:c r="G320" s="25" t="str">
        <x:v>Consumer</x:v>
      </x:c>
      <x:c r="H320" s="25" t="str">
        <x:v>Phone Order</x:v>
      </x:c>
      <x:c r="I320" s="25" t="str">
        <x:v>Office Supplies</x:v>
      </x:c>
      <x:c r="J320" s="25" t="str">
        <x:v>Calculator</x:v>
      </x:c>
      <x:c r="K320" s="25" t="n">
        <x:v>6</x:v>
      </x:c>
      <x:c r="L320" s="26" t="n">
        <x:v>460</x:v>
      </x:c>
      <x:c r="M320" s="27" t="n">
        <x:v>0.05</x:v>
      </x:c>
      <x:c r="N320" s="26" t="n">
        <x:f>K320*L320</x:f>
        <x:v>2760</x:v>
      </x:c>
      <x:c r="O320" s="26" t="n">
        <x:f>N320*(1-M320)</x:f>
        <x:v>2622</x:v>
      </x:c>
      <x:c r="P320" s="26" t="n">
        <x:v>286</x:v>
      </x:c>
      <x:c r="Q320" s="26" t="n">
        <x:f>K320*P320</x:f>
        <x:v>1716</x:v>
      </x:c>
      <x:c r="R320" s="26" t="n">
        <x:f>O320-Q320</x:f>
        <x:v>906</x:v>
      </x:c>
      <x:c r="S320" s="28" t="n">
        <x:f>IF(O320=0,0,R320/O320)</x:f>
        <x:v>0.34553775743707094</x:v>
      </x:c>
      <x:c r="T320" s="25" t="str">
        <x:v>Bank Transfer</x:v>
      </x:c>
      <x:c r="U320" s="25" t="str">
        <x:v>Completed</x:v>
      </x:c>
      <x:c r="V320" s="29" t="n">
        <x:v>4</x:v>
      </x:c>
    </x:row>
    <x:row r="321">
      <x:c r="A321" s="23" t="str">
        <x:v>MAN-2025-00320</x:v>
      </x:c>
      <x:c r="B321" s="24" t="n">
        <x:v>45940</x:v>
      </x:c>
      <x:c r="C321" s="25" t="str">
        <x:v>Mansoura</x:v>
      </x:c>
      <x:c r="D321" s="25" t="str">
        <x:v>Mit Ghamr</x:v>
      </x:c>
      <x:c r="E321" s="25" t="str">
        <x:v>Aya Farouk</x:v>
      </x:c>
      <x:c r="F321" s="25" t="str">
        <x:v>Mostafa Samir</x:v>
      </x:c>
      <x:c r="G321" s="25" t="str">
        <x:v>Corporate</x:v>
      </x:c>
      <x:c r="H321" s="25" t="str">
        <x:v>Mobile App</x:v>
      </x:c>
      <x:c r="I321" s="25" t="str">
        <x:v>Furniture</x:v>
      </x:c>
      <x:c r="J321" s="25" t="str">
        <x:v>Bookshelf</x:v>
      </x:c>
      <x:c r="K321" s="25" t="n">
        <x:v>3</x:v>
      </x:c>
      <x:c r="L321" s="26" t="n">
        <x:v>2916</x:v>
      </x:c>
      <x:c r="M321" s="27" t="n">
        <x:v>0.05</x:v>
      </x:c>
      <x:c r="N321" s="26" t="n">
        <x:f>K321*L321</x:f>
        <x:v>8748</x:v>
      </x:c>
      <x:c r="O321" s="26" t="n">
        <x:f>N321*(1-M321)</x:f>
        <x:v>8310.6</x:v>
      </x:c>
      <x:c r="P321" s="26" t="n">
        <x:v>2226</x:v>
      </x:c>
      <x:c r="Q321" s="26" t="n">
        <x:f>K321*P321</x:f>
        <x:v>6678</x:v>
      </x:c>
      <x:c r="R321" s="26" t="n">
        <x:f>O321-Q321</x:f>
        <x:v>1632.6000000000004</x:v>
      </x:c>
      <x:c r="S321" s="28" t="n">
        <x:f>IF(O321=0,0,R321/O321)</x:f>
        <x:v>0.19644790989820232</x:v>
      </x:c>
      <x:c r="T321" s="25" t="str">
        <x:v>Bank Transfer</x:v>
      </x:c>
      <x:c r="U321" s="25" t="str">
        <x:v>Completed</x:v>
      </x:c>
      <x:c r="V321" s="29" t="n">
        <x:v>4</x:v>
      </x:c>
    </x:row>
    <x:row r="322">
      <x:c r="A322" s="23" t="str">
        <x:v>MAN-2025-00321</x:v>
      </x:c>
      <x:c r="B322" s="24" t="n">
        <x:v>45672</x:v>
      </x:c>
      <x:c r="C322" s="25" t="str">
        <x:v>Mansoura</x:v>
      </x:c>
      <x:c r="D322" s="25" t="str">
        <x:v>Aga</x:v>
      </x:c>
      <x:c r="E322" s="25" t="str">
        <x:v>Salma Mansour</x:v>
      </x:c>
      <x:c r="F322" s="25" t="str">
        <x:v>Ahmed Adel</x:v>
      </x:c>
      <x:c r="G322" s="25" t="str">
        <x:v>Corporate</x:v>
      </x:c>
      <x:c r="H322" s="25" t="str">
        <x:v>Phone Order</x:v>
      </x:c>
      <x:c r="I322" s="25" t="str">
        <x:v>Home Appliances</x:v>
      </x:c>
      <x:c r="J322" s="25" t="str">
        <x:v>Microwave</x:v>
      </x:c>
      <x:c r="K322" s="25" t="n">
        <x:v>6</x:v>
      </x:c>
      <x:c r="L322" s="26" t="n">
        <x:v>5546</x:v>
      </x:c>
      <x:c r="M322" s="27" t="n">
        <x:v>0.05</x:v>
      </x:c>
      <x:c r="N322" s="26" t="n">
        <x:f>K322*L322</x:f>
        <x:v>33276</x:v>
      </x:c>
      <x:c r="O322" s="26" t="n">
        <x:f>N322*(1-M322)</x:f>
        <x:v>31612.199999999997</x:v>
      </x:c>
      <x:c r="P322" s="26" t="n">
        <x:v>4490</x:v>
      </x:c>
      <x:c r="Q322" s="26" t="n">
        <x:f>K322*P322</x:f>
        <x:v>26940</x:v>
      </x:c>
      <x:c r="R322" s="26" t="n">
        <x:f>O322-Q322</x:f>
        <x:v>4672.199999999997</x:v>
      </x:c>
      <x:c r="S322" s="28" t="n">
        <x:f>IF(O322=0,0,R322/O322)</x:f>
        <x:v>0.14779736937005325</x:v>
      </x:c>
      <x:c r="T322" s="25" t="str">
        <x:v>Digital Wallet</x:v>
      </x:c>
      <x:c r="U322" s="25" t="str">
        <x:v>Returned</x:v>
      </x:c>
      <x:c r="V322" s="29" t="n">
        <x:v>5</x:v>
      </x:c>
    </x:row>
    <x:row r="323">
      <x:c r="A323" s="23" t="str">
        <x:v>MAN-2025-00322</x:v>
      </x:c>
      <x:c r="B323" s="24" t="n">
        <x:v>45978</x:v>
      </x:c>
      <x:c r="C323" s="25" t="str">
        <x:v>Mansoura</x:v>
      </x:c>
      <x:c r="D323" s="25" t="str">
        <x:v>Aga</x:v>
      </x:c>
      <x:c r="E323" s="25" t="str">
        <x:v>Youssef Fathy</x:v>
      </x:c>
      <x:c r="F323" s="25" t="str">
        <x:v>Hana Gamal</x:v>
      </x:c>
      <x:c r="G323" s="25" t="str">
        <x:v>Consumer</x:v>
      </x:c>
      <x:c r="H323" s="25" t="str">
        <x:v>Phone Order</x:v>
      </x:c>
      <x:c r="I323" s="25" t="str">
        <x:v>Home Appliances</x:v>
      </x:c>
      <x:c r="J323" s="25" t="str">
        <x:v>Blender</x:v>
      </x:c>
      <x:c r="K323" s="25" t="n">
        <x:v>4</x:v>
      </x:c>
      <x:c r="L323" s="26" t="n">
        <x:v>1785</x:v>
      </x:c>
      <x:c r="M323" s="27" t="n">
        <x:v>0.15</x:v>
      </x:c>
      <x:c r="N323" s="26" t="n">
        <x:f>K323*L323</x:f>
        <x:v>7140</x:v>
      </x:c>
      <x:c r="O323" s="26" t="n">
        <x:f>N323*(1-M323)</x:f>
        <x:v>6069</x:v>
      </x:c>
      <x:c r="P323" s="26" t="n">
        <x:v>1236</x:v>
      </x:c>
      <x:c r="Q323" s="26" t="n">
        <x:f>K323*P323</x:f>
        <x:v>4944</x:v>
      </x:c>
      <x:c r="R323" s="26" t="n">
        <x:f>O323-Q323</x:f>
        <x:v>1125</x:v>
      </x:c>
      <x:c r="S323" s="28" t="n">
        <x:f>IF(O323=0,0,R323/O323)</x:f>
        <x:v>0.18536826495304004</x:v>
      </x:c>
      <x:c r="T323" s="25" t="str">
        <x:v>Debit Card</x:v>
      </x:c>
      <x:c r="U323" s="25" t="str">
        <x:v>Completed</x:v>
      </x:c>
      <x:c r="V323" s="29" t="n">
        <x:v>4</x:v>
      </x:c>
    </x:row>
    <x:row r="324">
      <x:c r="A324" s="23" t="str">
        <x:v>MAN-2025-00323</x:v>
      </x:c>
      <x:c r="B324" s="24" t="n">
        <x:v>45738</x:v>
      </x:c>
      <x:c r="C324" s="25" t="str">
        <x:v>Mansoura</x:v>
      </x:c>
      <x:c r="D324" s="25" t="str">
        <x:v>Mit Ghamr</x:v>
      </x:c>
      <x:c r="E324" s="25" t="str">
        <x:v>Aya Farouk</x:v>
      </x:c>
      <x:c r="F324" s="25" t="str">
        <x:v>Omar Gamal</x:v>
      </x:c>
      <x:c r="G324" s="25" t="str">
        <x:v>Consumer</x:v>
      </x:c>
      <x:c r="H324" s="25" t="str">
        <x:v>Retail Store</x:v>
      </x:c>
      <x:c r="I324" s="25" t="str">
        <x:v>Office Supplies</x:v>
      </x:c>
      <x:c r="J324" s="25" t="str">
        <x:v>Calculator</x:v>
      </x:c>
      <x:c r="K324" s="25" t="n">
        <x:v>1</x:v>
      </x:c>
      <x:c r="L324" s="26" t="n">
        <x:v>424</x:v>
      </x:c>
      <x:c r="M324" s="27" t="n">
        <x:v>0.05</x:v>
      </x:c>
      <x:c r="N324" s="26" t="n">
        <x:f>K324*L324</x:f>
        <x:v>424</x:v>
      </x:c>
      <x:c r="O324" s="26" t="n">
        <x:f>N324*(1-M324)</x:f>
        <x:v>402.79999999999995</x:v>
      </x:c>
      <x:c r="P324" s="26" t="n">
        <x:v>284</x:v>
      </x:c>
      <x:c r="Q324" s="26" t="n">
        <x:f>K324*P324</x:f>
        <x:v>284</x:v>
      </x:c>
      <x:c r="R324" s="26" t="n">
        <x:f>O324-Q324</x:f>
        <x:v>118.79999999999995</x:v>
      </x:c>
      <x:c r="S324" s="28" t="n">
        <x:f>IF(O324=0,0,R324/O324)</x:f>
        <x:v>0.29493545183713993</x:v>
      </x:c>
      <x:c r="T324" s="25" t="str">
        <x:v>Credit Card</x:v>
      </x:c>
      <x:c r="U324" s="25" t="str">
        <x:v>Cancelled</x:v>
      </x:c>
      <x:c r="V324" s="29" t="n">
        <x:v>5</x:v>
      </x:c>
    </x:row>
    <x:row r="325">
      <x:c r="A325" s="23" t="str">
        <x:v>MAN-2025-00324</x:v>
      </x:c>
      <x:c r="B325" s="24" t="n">
        <x:v>45997</x:v>
      </x:c>
      <x:c r="C325" s="25" t="str">
        <x:v>Mansoura</x:v>
      </x:c>
      <x:c r="D325" s="25" t="str">
        <x:v>Sherbin</x:v>
      </x:c>
      <x:c r="E325" s="25" t="str">
        <x:v>Aya Farouk</x:v>
      </x:c>
      <x:c r="F325" s="25" t="str">
        <x:v>Aya Fathy</x:v>
      </x:c>
      <x:c r="G325" s="25" t="str">
        <x:v>Consumer</x:v>
      </x:c>
      <x:c r="H325" s="25" t="str">
        <x:v>Retail Store</x:v>
      </x:c>
      <x:c r="I325" s="25" t="str">
        <x:v>Furniture</x:v>
      </x:c>
      <x:c r="J325" s="25" t="str">
        <x:v>Bookshelf</x:v>
      </x:c>
      <x:c r="K325" s="25" t="n">
        <x:v>4</x:v>
      </x:c>
      <x:c r="L325" s="26" t="n">
        <x:v>2894</x:v>
      </x:c>
      <x:c r="M325" s="27" t="n">
        <x:v>0.05</x:v>
      </x:c>
      <x:c r="N325" s="26" t="n">
        <x:f>K325*L325</x:f>
        <x:v>11576</x:v>
      </x:c>
      <x:c r="O325" s="26" t="n">
        <x:f>N325*(1-M325)</x:f>
        <x:v>10997.199999999999</x:v>
      </x:c>
      <x:c r="P325" s="26" t="n">
        <x:v>2138</x:v>
      </x:c>
      <x:c r="Q325" s="26" t="n">
        <x:f>K325*P325</x:f>
        <x:v>8552</x:v>
      </x:c>
      <x:c r="R325" s="26" t="n">
        <x:f>O325-Q325</x:f>
        <x:v>2445.199999999999</x:v>
      </x:c>
      <x:c r="S325" s="28" t="n">
        <x:f>IF(O325=0,0,R325/O325)</x:f>
        <x:v>0.22234750663805325</x:v>
      </x:c>
      <x:c r="T325" s="25" t="str">
        <x:v>Cash</x:v>
      </x:c>
      <x:c r="U325" s="25" t="str">
        <x:v>Completed</x:v>
      </x:c>
      <x:c r="V325" s="29" t="n">
        <x:v>4</x:v>
      </x:c>
    </x:row>
    <x:row r="326">
      <x:c r="A326" s="23" t="str">
        <x:v>MAN-2025-00325</x:v>
      </x:c>
      <x:c r="B326" s="24" t="n">
        <x:v>45728</x:v>
      </x:c>
      <x:c r="C326" s="25" t="str">
        <x:v>Mansoura</x:v>
      </x:c>
      <x:c r="D326" s="25" t="str">
        <x:v>Aga</x:v>
      </x:c>
      <x:c r="E326" s="25" t="str">
        <x:v>Ali Sayed</x:v>
      </x:c>
      <x:c r="F326" s="25" t="str">
        <x:v>Mohamed Farouk</x:v>
      </x:c>
      <x:c r="G326" s="25" t="str">
        <x:v>Small Business</x:v>
      </x:c>
      <x:c r="H326" s="25" t="str">
        <x:v>Mobile App</x:v>
      </x:c>
      <x:c r="I326" s="25" t="str">
        <x:v>Office Supplies</x:v>
      </x:c>
      <x:c r="J326" s="25" t="str">
        <x:v>Ink Cartridge</x:v>
      </x:c>
      <x:c r="K326" s="25" t="n">
        <x:v>4</x:v>
      </x:c>
      <x:c r="L326" s="26" t="n">
        <x:v>826</x:v>
      </x:c>
      <x:c r="M326" s="27" t="n">
        <x:v>0.1</x:v>
      </x:c>
      <x:c r="N326" s="26" t="n">
        <x:f>K326*L326</x:f>
        <x:v>3304</x:v>
      </x:c>
      <x:c r="O326" s="26" t="n">
        <x:f>N326*(1-M326)</x:f>
        <x:v>2973.6</x:v>
      </x:c>
      <x:c r="P326" s="26" t="n">
        <x:v>572</x:v>
      </x:c>
      <x:c r="Q326" s="26" t="n">
        <x:f>K326*P326</x:f>
        <x:v>2288</x:v>
      </x:c>
      <x:c r="R326" s="26" t="n">
        <x:f>O326-Q326</x:f>
        <x:v>685.5999999999999</x:v>
      </x:c>
      <x:c r="S326" s="28" t="n">
        <x:f>IF(O326=0,0,R326/O326)</x:f>
        <x:v>0.230562281409739</x:v>
      </x:c>
      <x:c r="T326" s="25" t="str">
        <x:v>Digital Wallet</x:v>
      </x:c>
      <x:c r="U326" s="25" t="str">
        <x:v>Completed</x:v>
      </x:c>
      <x:c r="V326" s="29" t="n">
        <x:v>4</x:v>
      </x:c>
    </x:row>
    <x:row r="327">
      <x:c r="A327" s="23" t="str">
        <x:v>MAN-2025-00326</x:v>
      </x:c>
      <x:c r="B327" s="24" t="n">
        <x:v>45731</x:v>
      </x:c>
      <x:c r="C327" s="25" t="str">
        <x:v>Mansoura</x:v>
      </x:c>
      <x:c r="D327" s="25" t="str">
        <x:v>Mansoura City</x:v>
      </x:c>
      <x:c r="E327" s="25" t="str">
        <x:v>Salma Mansour</x:v>
      </x:c>
      <x:c r="F327" s="25" t="str">
        <x:v>Karim Fathy</x:v>
      </x:c>
      <x:c r="G327" s="25" t="str">
        <x:v>Consumer</x:v>
      </x:c>
      <x:c r="H327" s="25" t="str">
        <x:v>Website</x:v>
      </x:c>
      <x:c r="I327" s="25" t="str">
        <x:v>Office Supplies</x:v>
      </x:c>
      <x:c r="J327" s="25" t="str">
        <x:v>Paper Box</x:v>
      </x:c>
      <x:c r="K327" s="25" t="n">
        <x:v>6</x:v>
      </x:c>
      <x:c r="L327" s="26" t="n">
        <x:v>379</x:v>
      </x:c>
      <x:c r="M327" s="27" t="n">
        <x:v>0.15</x:v>
      </x:c>
      <x:c r="N327" s="26" t="n">
        <x:f>K327*L327</x:f>
        <x:v>2274</x:v>
      </x:c>
      <x:c r="O327" s="26" t="n">
        <x:f>N327*(1-M327)</x:f>
        <x:v>1932.8999999999999</x:v>
      </x:c>
      <x:c r="P327" s="26" t="n">
        <x:v>268</x:v>
      </x:c>
      <x:c r="Q327" s="26" t="n">
        <x:f>K327*P327</x:f>
        <x:v>1608</x:v>
      </x:c>
      <x:c r="R327" s="26" t="n">
        <x:f>O327-Q327</x:f>
        <x:v>324.89999999999986</x:v>
      </x:c>
      <x:c r="S327" s="28" t="n">
        <x:f>IF(O327=0,0,R327/O327)</x:f>
        <x:v>0.1680893993481297</x:v>
      </x:c>
      <x:c r="T327" s="25" t="str">
        <x:v>Bank Transfer</x:v>
      </x:c>
      <x:c r="U327" s="25" t="str">
        <x:v>Completed</x:v>
      </x:c>
      <x:c r="V327" s="29" t="n">
        <x:v>5</x:v>
      </x:c>
    </x:row>
    <x:row r="328">
      <x:c r="A328" s="23" t="str">
        <x:v>MAN-2025-00327</x:v>
      </x:c>
      <x:c r="B328" s="24" t="n">
        <x:v>45797</x:v>
      </x:c>
      <x:c r="C328" s="25" t="str">
        <x:v>Mansoura</x:v>
      </x:c>
      <x:c r="D328" s="25" t="str">
        <x:v>Talkha</x:v>
      </x:c>
      <x:c r="E328" s="25" t="str">
        <x:v>Youssef Fathy</x:v>
      </x:c>
      <x:c r="F328" s="25" t="str">
        <x:v>Ali Fathy</x:v>
      </x:c>
      <x:c r="G328" s="25" t="str">
        <x:v>Consumer</x:v>
      </x:c>
      <x:c r="H328" s="25" t="str">
        <x:v>Mobile App</x:v>
      </x:c>
      <x:c r="I328" s="25" t="str">
        <x:v>Office Supplies</x:v>
      </x:c>
      <x:c r="J328" s="25" t="str">
        <x:v>Ink Cartridge</x:v>
      </x:c>
      <x:c r="K328" s="25" t="n">
        <x:v>2</x:v>
      </x:c>
      <x:c r="L328" s="26" t="n">
        <x:v>792</x:v>
      </x:c>
      <x:c r="M328" s="27" t="n">
        <x:v>0.05</x:v>
      </x:c>
      <x:c r="N328" s="26" t="n">
        <x:f>K328*L328</x:f>
        <x:v>1584</x:v>
      </x:c>
      <x:c r="O328" s="26" t="n">
        <x:f>N328*(1-M328)</x:f>
        <x:v>1504.8</x:v>
      </x:c>
      <x:c r="P328" s="26" t="n">
        <x:v>588</x:v>
      </x:c>
      <x:c r="Q328" s="26" t="n">
        <x:f>K328*P328</x:f>
        <x:v>1176</x:v>
      </x:c>
      <x:c r="R328" s="26" t="n">
        <x:f>O328-Q328</x:f>
        <x:v>328.79999999999995</x:v>
      </x:c>
      <x:c r="S328" s="28" t="n">
        <x:f>IF(O328=0,0,R328/O328)</x:f>
        <x:v>0.21850079744816583</x:v>
      </x:c>
      <x:c r="T328" s="25" t="str">
        <x:v>Debit Card</x:v>
      </x:c>
      <x:c r="U328" s="25" t="str">
        <x:v>Completed</x:v>
      </x:c>
      <x:c r="V328" s="29" t="n">
        <x:v>5</x:v>
      </x:c>
    </x:row>
    <x:row r="329">
      <x:c r="A329" s="23" t="str">
        <x:v>MAN-2025-00328</x:v>
      </x:c>
      <x:c r="B329" s="24" t="n">
        <x:v>45872</x:v>
      </x:c>
      <x:c r="C329" s="25" t="str">
        <x:v>Mansoura</x:v>
      </x:c>
      <x:c r="D329" s="25" t="str">
        <x:v>Talkha</x:v>
      </x:c>
      <x:c r="E329" s="25" t="str">
        <x:v>Youssef Fathy</x:v>
      </x:c>
      <x:c r="F329" s="25" t="str">
        <x:v>Nour Sayed</x:v>
      </x:c>
      <x:c r="G329" s="25" t="str">
        <x:v>Small Business</x:v>
      </x:c>
      <x:c r="H329" s="25" t="str">
        <x:v>Phone Order</x:v>
      </x:c>
      <x:c r="I329" s="25" t="str">
        <x:v>Furniture</x:v>
      </x:c>
      <x:c r="J329" s="25" t="str">
        <x:v>Desk</x:v>
      </x:c>
      <x:c r="K329" s="25" t="n">
        <x:v>3</x:v>
      </x:c>
      <x:c r="L329" s="26" t="n">
        <x:v>5099</x:v>
      </x:c>
      <x:c r="M329" s="27" t="n">
        <x:v>0</x:v>
      </x:c>
      <x:c r="N329" s="26" t="n">
        <x:f>K329*L329</x:f>
        <x:v>15297</x:v>
      </x:c>
      <x:c r="O329" s="26" t="n">
        <x:f>N329*(1-M329)</x:f>
        <x:v>15297</x:v>
      </x:c>
      <x:c r="P329" s="26" t="n">
        <x:v>3988</x:v>
      </x:c>
      <x:c r="Q329" s="26" t="n">
        <x:f>K329*P329</x:f>
        <x:v>11964</x:v>
      </x:c>
      <x:c r="R329" s="26" t="n">
        <x:f>O329-Q329</x:f>
        <x:v>3333</x:v>
      </x:c>
      <x:c r="S329" s="28" t="n">
        <x:f>IF(O329=0,0,R329/O329)</x:f>
        <x:v>0.21788585997254364</x:v>
      </x:c>
      <x:c r="T329" s="25" t="str">
        <x:v>Cash</x:v>
      </x:c>
      <x:c r="U329" s="25" t="str">
        <x:v>Completed</x:v>
      </x:c>
      <x:c r="V329" s="29" t="n">
        <x:v>3</x:v>
      </x:c>
    </x:row>
    <x:row r="330">
      <x:c r="A330" s="23" t="str">
        <x:v>MAN-2025-00329</x:v>
      </x:c>
      <x:c r="B330" s="24" t="n">
        <x:v>45902</x:v>
      </x:c>
      <x:c r="C330" s="25" t="str">
        <x:v>Mansoura</x:v>
      </x:c>
      <x:c r="D330" s="25" t="str">
        <x:v>Talkha</x:v>
      </x:c>
      <x:c r="E330" s="25" t="str">
        <x:v>Ali Sayed</x:v>
      </x:c>
      <x:c r="F330" s="25" t="str">
        <x:v>Mohamed Sayed</x:v>
      </x:c>
      <x:c r="G330" s="25" t="str">
        <x:v>Small Business</x:v>
      </x:c>
      <x:c r="H330" s="25" t="str">
        <x:v>Mobile App</x:v>
      </x:c>
      <x:c r="I330" s="25" t="str">
        <x:v>Furniture</x:v>
      </x:c>
      <x:c r="J330" s="25" t="str">
        <x:v>Desk</x:v>
      </x:c>
      <x:c r="K330" s="25" t="n">
        <x:v>2</x:v>
      </x:c>
      <x:c r="L330" s="26" t="n">
        <x:v>5041</x:v>
      </x:c>
      <x:c r="M330" s="27" t="n">
        <x:v>0.1</x:v>
      </x:c>
      <x:c r="N330" s="26" t="n">
        <x:f>K330*L330</x:f>
        <x:v>10082</x:v>
      </x:c>
      <x:c r="O330" s="26" t="n">
        <x:f>N330*(1-M330)</x:f>
        <x:v>9073.800000000001</x:v>
      </x:c>
      <x:c r="P330" s="26" t="n">
        <x:v>4049</x:v>
      </x:c>
      <x:c r="Q330" s="26" t="n">
        <x:f>K330*P330</x:f>
        <x:v>8098</x:v>
      </x:c>
      <x:c r="R330" s="26" t="n">
        <x:f>O330-Q330</x:f>
        <x:v>975.8000000000011</x:v>
      </x:c>
      <x:c r="S330" s="28" t="n">
        <x:f>IF(O330=0,0,R330/O330)</x:f>
        <x:v>0.10754039101589201</x:v>
      </x:c>
      <x:c r="T330" s="25" t="str">
        <x:v>Cash</x:v>
      </x:c>
      <x:c r="U330" s="25" t="str">
        <x:v>Returned</x:v>
      </x:c>
      <x:c r="V330" s="29" t="n">
        <x:v>5</x:v>
      </x:c>
    </x:row>
    <x:row r="331">
      <x:c r="A331" s="23" t="str">
        <x:v>MAN-2025-00330</x:v>
      </x:c>
      <x:c r="B331" s="24" t="n">
        <x:v>45970</x:v>
      </x:c>
      <x:c r="C331" s="25" t="str">
        <x:v>Mansoura</x:v>
      </x:c>
      <x:c r="D331" s="25" t="str">
        <x:v>Mit Ghamr</x:v>
      </x:c>
      <x:c r="E331" s="25" t="str">
        <x:v>Ali Sayed</x:v>
      </x:c>
      <x:c r="F331" s="25" t="str">
        <x:v>Hana Gamal</x:v>
      </x:c>
      <x:c r="G331" s="25" t="str">
        <x:v>Corporate</x:v>
      </x:c>
      <x:c r="H331" s="25" t="str">
        <x:v>Mobile App</x:v>
      </x:c>
      <x:c r="I331" s="25" t="str">
        <x:v>Home Appliances</x:v>
      </x:c>
      <x:c r="J331" s="25" t="str">
        <x:v>Blender</x:v>
      </x:c>
      <x:c r="K331" s="25" t="n">
        <x:v>5</x:v>
      </x:c>
      <x:c r="L331" s="26" t="n">
        <x:v>1841</x:v>
      </x:c>
      <x:c r="M331" s="27" t="n">
        <x:v>0</x:v>
      </x:c>
      <x:c r="N331" s="26" t="n">
        <x:f>K331*L331</x:f>
        <x:v>9205</x:v>
      </x:c>
      <x:c r="O331" s="26" t="n">
        <x:f>N331*(1-M331)</x:f>
        <x:v>9205</x:v>
      </x:c>
      <x:c r="P331" s="26" t="n">
        <x:v>1254</x:v>
      </x:c>
      <x:c r="Q331" s="26" t="n">
        <x:f>K331*P331</x:f>
        <x:v>6270</x:v>
      </x:c>
      <x:c r="R331" s="26" t="n">
        <x:f>O331-Q331</x:f>
        <x:v>2935</x:v>
      </x:c>
      <x:c r="S331" s="28" t="n">
        <x:f>IF(O331=0,0,R331/O331)</x:f>
        <x:v>0.31884845192829986</x:v>
      </x:c>
      <x:c r="T331" s="25" t="str">
        <x:v>Debit Card</x:v>
      </x:c>
      <x:c r="U331" s="25" t="str">
        <x:v>Completed</x:v>
      </x:c>
      <x:c r="V331" s="29" t="n">
        <x:v>3</x:v>
      </x:c>
    </x:row>
    <x:row r="332">
      <x:c r="A332" s="23" t="str">
        <x:v>MAN-2025-00331</x:v>
      </x:c>
      <x:c r="B332" s="24" t="n">
        <x:v>45973</x:v>
      </x:c>
      <x:c r="C332" s="25" t="str">
        <x:v>Mansoura</x:v>
      </x:c>
      <x:c r="D332" s="25" t="str">
        <x:v>Mit Ghamr</x:v>
      </x:c>
      <x:c r="E332" s="25" t="str">
        <x:v>Salma Mansour</x:v>
      </x:c>
      <x:c r="F332" s="25" t="str">
        <x:v>Amr Gamal</x:v>
      </x:c>
      <x:c r="G332" s="25" t="str">
        <x:v>Consumer</x:v>
      </x:c>
      <x:c r="H332" s="25" t="str">
        <x:v>Phone Order</x:v>
      </x:c>
      <x:c r="I332" s="25" t="str">
        <x:v>Electronics</x:v>
      </x:c>
      <x:c r="J332" s="25" t="str">
        <x:v>Smartphone</x:v>
      </x:c>
      <x:c r="K332" s="25" t="n">
        <x:v>2</x:v>
      </x:c>
      <x:c r="L332" s="26" t="n">
        <x:v>12984</x:v>
      </x:c>
      <x:c r="M332" s="27" t="n">
        <x:v>0.1</x:v>
      </x:c>
      <x:c r="N332" s="26" t="n">
        <x:f>K332*L332</x:f>
        <x:v>25968</x:v>
      </x:c>
      <x:c r="O332" s="26" t="n">
        <x:f>N332*(1-M332)</x:f>
        <x:v>23371.2</x:v>
      </x:c>
      <x:c r="P332" s="26" t="n">
        <x:v>10818</x:v>
      </x:c>
      <x:c r="Q332" s="26" t="n">
        <x:f>K332*P332</x:f>
        <x:v>21636</x:v>
      </x:c>
      <x:c r="R332" s="26" t="n">
        <x:f>O332-Q332</x:f>
        <x:v>1735.2000000000007</x:v>
      </x:c>
      <x:c r="S332" s="28" t="n">
        <x:f>IF(O332=0,0,R332/O332)</x:f>
        <x:v>0.07424522489217501</x:v>
      </x:c>
      <x:c r="T332" s="25" t="str">
        <x:v>Digital Wallet</x:v>
      </x:c>
      <x:c r="U332" s="25" t="str">
        <x:v>Returned</x:v>
      </x:c>
      <x:c r="V332" s="29" t="n">
        <x:v>4</x:v>
      </x:c>
    </x:row>
    <x:row r="333">
      <x:c r="A333" s="23" t="str">
        <x:v>MAN-2025-00332</x:v>
      </x:c>
      <x:c r="B333" s="24" t="n">
        <x:v>46005</x:v>
      </x:c>
      <x:c r="C333" s="25" t="str">
        <x:v>Mansoura</x:v>
      </x:c>
      <x:c r="D333" s="25" t="str">
        <x:v>Talkha</x:v>
      </x:c>
      <x:c r="E333" s="25" t="str">
        <x:v>Salma Mansour</x:v>
      </x:c>
      <x:c r="F333" s="25" t="str">
        <x:v>Karim Gamal</x:v>
      </x:c>
      <x:c r="G333" s="25" t="str">
        <x:v>Consumer</x:v>
      </x:c>
      <x:c r="H333" s="25" t="str">
        <x:v>Retail Store</x:v>
      </x:c>
      <x:c r="I333" s="25" t="str">
        <x:v>Home Appliances</x:v>
      </x:c>
      <x:c r="J333" s="25" t="str">
        <x:v>Air Conditioner</x:v>
      </x:c>
      <x:c r="K333" s="25" t="n">
        <x:v>4</x:v>
      </x:c>
      <x:c r="L333" s="26" t="n">
        <x:v>19544</x:v>
      </x:c>
      <x:c r="M333" s="27" t="n">
        <x:v>0</x:v>
      </x:c>
      <x:c r="N333" s="26" t="n">
        <x:f>K333*L333</x:f>
        <x:v>78176</x:v>
      </x:c>
      <x:c r="O333" s="26" t="n">
        <x:f>N333*(1-M333)</x:f>
        <x:v>78176</x:v>
      </x:c>
      <x:c r="P333" s="26" t="n">
        <x:v>17923</x:v>
      </x:c>
      <x:c r="Q333" s="26" t="n">
        <x:f>K333*P333</x:f>
        <x:v>71692</x:v>
      </x:c>
      <x:c r="R333" s="26" t="n">
        <x:f>O333-Q333</x:f>
        <x:v>6484</x:v>
      </x:c>
      <x:c r="S333" s="28" t="n">
        <x:f>IF(O333=0,0,R333/O333)</x:f>
        <x:v>0.0829410560785919</x:v>
      </x:c>
      <x:c r="T333" s="25" t="str">
        <x:v>Bank Transfer</x:v>
      </x:c>
      <x:c r="U333" s="25" t="str">
        <x:v>Completed</x:v>
      </x:c>
      <x:c r="V333" s="29" t="n">
        <x:v>5</x:v>
      </x:c>
    </x:row>
    <x:row r="334">
      <x:c r="A334" s="23" t="str">
        <x:v>MAN-2025-00333</x:v>
      </x:c>
      <x:c r="B334" s="24" t="n">
        <x:v>45964</x:v>
      </x:c>
      <x:c r="C334" s="25" t="str">
        <x:v>Mansoura</x:v>
      </x:c>
      <x:c r="D334" s="25" t="str">
        <x:v>Aga</x:v>
      </x:c>
      <x:c r="E334" s="25" t="str">
        <x:v>Ali Sayed</x:v>
      </x:c>
      <x:c r="F334" s="25" t="str">
        <x:v>Nour Mansour</x:v>
      </x:c>
      <x:c r="G334" s="25" t="str">
        <x:v>Consumer</x:v>
      </x:c>
      <x:c r="H334" s="25" t="str">
        <x:v>Retail Store</x:v>
      </x:c>
      <x:c r="I334" s="25" t="str">
        <x:v>Office Supplies</x:v>
      </x:c>
      <x:c r="J334" s="25" t="str">
        <x:v>Paper Box</x:v>
      </x:c>
      <x:c r="K334" s="25" t="n">
        <x:v>1</x:v>
      </x:c>
      <x:c r="L334" s="26" t="n">
        <x:v>388</x:v>
      </x:c>
      <x:c r="M334" s="27" t="n">
        <x:v>0.05</x:v>
      </x:c>
      <x:c r="N334" s="26" t="n">
        <x:f>K334*L334</x:f>
        <x:v>388</x:v>
      </x:c>
      <x:c r="O334" s="26" t="n">
        <x:f>N334*(1-M334)</x:f>
        <x:v>368.59999999999997</x:v>
      </x:c>
      <x:c r="P334" s="26" t="n">
        <x:v>257</x:v>
      </x:c>
      <x:c r="Q334" s="26" t="n">
        <x:f>K334*P334</x:f>
        <x:v>257</x:v>
      </x:c>
      <x:c r="R334" s="26" t="n">
        <x:f>O334-Q334</x:f>
        <x:v>111.59999999999997</x:v>
      </x:c>
      <x:c r="S334" s="28" t="n">
        <x:f>IF(O334=0,0,R334/O334)</x:f>
        <x:v>0.30276722734671724</x:v>
      </x:c>
      <x:c r="T334" s="25" t="str">
        <x:v>Cash</x:v>
      </x:c>
      <x:c r="U334" s="25" t="str">
        <x:v>Returned</x:v>
      </x:c>
      <x:c r="V334" s="29" t="n">
        <x:v>4</x:v>
      </x:c>
    </x:row>
    <x:row r="335">
      <x:c r="A335" s="23" t="str">
        <x:v>MAN-2025-00334</x:v>
      </x:c>
      <x:c r="B335" s="24" t="n">
        <x:v>45983</x:v>
      </x:c>
      <x:c r="C335" s="25" t="str">
        <x:v>Mansoura</x:v>
      </x:c>
      <x:c r="D335" s="25" t="str">
        <x:v>Talkha</x:v>
      </x:c>
      <x:c r="E335" s="25" t="str">
        <x:v>Ali Sayed</x:v>
      </x:c>
      <x:c r="F335" s="25" t="str">
        <x:v>Nour Samir</x:v>
      </x:c>
      <x:c r="G335" s="25" t="str">
        <x:v>Small Business</x:v>
      </x:c>
      <x:c r="H335" s="25" t="str">
        <x:v>Phone Order</x:v>
      </x:c>
      <x:c r="I335" s="25" t="str">
        <x:v>Home Appliances</x:v>
      </x:c>
      <x:c r="J335" s="25" t="str">
        <x:v>Microwave</x:v>
      </x:c>
      <x:c r="K335" s="25" t="n">
        <x:v>4</x:v>
      </x:c>
      <x:c r="L335" s="26" t="n">
        <x:v>5692</x:v>
      </x:c>
      <x:c r="M335" s="27" t="n">
        <x:v>0.1</x:v>
      </x:c>
      <x:c r="N335" s="26" t="n">
        <x:f>K335*L335</x:f>
        <x:v>22768</x:v>
      </x:c>
      <x:c r="O335" s="26" t="n">
        <x:f>N335*(1-M335)</x:f>
        <x:v>20491.2</x:v>
      </x:c>
      <x:c r="P335" s="26" t="n">
        <x:v>4290</x:v>
      </x:c>
      <x:c r="Q335" s="26" t="n">
        <x:f>K335*P335</x:f>
        <x:v>17160</x:v>
      </x:c>
      <x:c r="R335" s="26" t="n">
        <x:f>O335-Q335</x:f>
        <x:v>3331.2000000000007</x:v>
      </x:c>
      <x:c r="S335" s="28" t="n">
        <x:f>IF(O335=0,0,R335/O335)</x:f>
        <x:v>0.16256734598266576</x:v>
      </x:c>
      <x:c r="T335" s="25" t="str">
        <x:v>Bank Transfer</x:v>
      </x:c>
      <x:c r="U335" s="25" t="str">
        <x:v>Completed</x:v>
      </x:c>
      <x:c r="V335" s="29" t="n">
        <x:v>3</x:v>
      </x:c>
    </x:row>
    <x:row r="336">
      <x:c r="A336" s="23" t="str">
        <x:v>MAN-2025-00335</x:v>
      </x:c>
      <x:c r="B336" s="24" t="n">
        <x:v>45702</x:v>
      </x:c>
      <x:c r="C336" s="25" t="str">
        <x:v>Mansoura</x:v>
      </x:c>
      <x:c r="D336" s="25" t="str">
        <x:v>Mit Ghamr</x:v>
      </x:c>
      <x:c r="E336" s="25" t="str">
        <x:v>Salma Mansour</x:v>
      </x:c>
      <x:c r="F336" s="25" t="str">
        <x:v>Aya Nasser</x:v>
      </x:c>
      <x:c r="G336" s="25" t="str">
        <x:v>Consumer</x:v>
      </x:c>
      <x:c r="H336" s="25" t="str">
        <x:v>Retail Store</x:v>
      </x:c>
      <x:c r="I336" s="25" t="str">
        <x:v>Electronics</x:v>
      </x:c>
      <x:c r="J336" s="25" t="str">
        <x:v>Tablet</x:v>
      </x:c>
      <x:c r="K336" s="25" t="n">
        <x:v>6</x:v>
      </x:c>
      <x:c r="L336" s="26" t="n">
        <x:v>8810</x:v>
      </x:c>
      <x:c r="M336" s="27" t="n">
        <x:v>0.05</x:v>
      </x:c>
      <x:c r="N336" s="26" t="n">
        <x:f>K336*L336</x:f>
        <x:v>52860</x:v>
      </x:c>
      <x:c r="O336" s="26" t="n">
        <x:f>N336*(1-M336)</x:f>
        <x:v>50217</x:v>
      </x:c>
      <x:c r="P336" s="26" t="n">
        <x:v>7372</x:v>
      </x:c>
      <x:c r="Q336" s="26" t="n">
        <x:f>K336*P336</x:f>
        <x:v>44232</x:v>
      </x:c>
      <x:c r="R336" s="26" t="n">
        <x:f>O336-Q336</x:f>
        <x:v>5985</x:v>
      </x:c>
      <x:c r="S336" s="28" t="n">
        <x:f>IF(O336=0,0,R336/O336)</x:f>
        <x:v>0.1191827468785471</x:v>
      </x:c>
      <x:c r="T336" s="25" t="str">
        <x:v>Debit Card</x:v>
      </x:c>
      <x:c r="U336" s="25" t="str">
        <x:v>Completed</x:v>
      </x:c>
      <x:c r="V336" s="29" t="n">
        <x:v>4</x:v>
      </x:c>
    </x:row>
    <x:row r="337">
      <x:c r="A337" s="23" t="str">
        <x:v>MAN-2025-00336</x:v>
      </x:c>
      <x:c r="B337" s="24" t="n">
        <x:v>45735</x:v>
      </x:c>
      <x:c r="C337" s="25" t="str">
        <x:v>Mansoura</x:v>
      </x:c>
      <x:c r="D337" s="25" t="str">
        <x:v>Mansoura City</x:v>
      </x:c>
      <x:c r="E337" s="25" t="str">
        <x:v>Ali Sayed</x:v>
      </x:c>
      <x:c r="F337" s="25" t="str">
        <x:v>Ali Sayed</x:v>
      </x:c>
      <x:c r="G337" s="25" t="str">
        <x:v>Consumer</x:v>
      </x:c>
      <x:c r="H337" s="25" t="str">
        <x:v>Retail Store</x:v>
      </x:c>
      <x:c r="I337" s="25" t="str">
        <x:v>Office Supplies</x:v>
      </x:c>
      <x:c r="J337" s="25" t="str">
        <x:v>Calculator</x:v>
      </x:c>
      <x:c r="K337" s="25" t="n">
        <x:v>4</x:v>
      </x:c>
      <x:c r="L337" s="26" t="n">
        <x:v>447</x:v>
      </x:c>
      <x:c r="M337" s="27" t="n">
        <x:v>0.05</x:v>
      </x:c>
      <x:c r="N337" s="26" t="n">
        <x:f>K337*L337</x:f>
        <x:v>1788</x:v>
      </x:c>
      <x:c r="O337" s="26" t="n">
        <x:f>N337*(1-M337)</x:f>
        <x:v>1698.6</x:v>
      </x:c>
      <x:c r="P337" s="26" t="n">
        <x:v>278</x:v>
      </x:c>
      <x:c r="Q337" s="26" t="n">
        <x:f>K337*P337</x:f>
        <x:v>1112</x:v>
      </x:c>
      <x:c r="R337" s="26" t="n">
        <x:f>O337-Q337</x:f>
        <x:v>586.5999999999999</x:v>
      </x:c>
      <x:c r="S337" s="28" t="n">
        <x:f>IF(O337=0,0,R337/O337)</x:f>
        <x:v>0.34534322383139054</x:v>
      </x:c>
      <x:c r="T337" s="25" t="str">
        <x:v>Credit Card</x:v>
      </x:c>
      <x:c r="U337" s="25" t="str">
        <x:v>Returned</x:v>
      </x:c>
      <x:c r="V337" s="29" t="n">
        <x:v>4</x:v>
      </x:c>
    </x:row>
    <x:row r="338">
      <x:c r="A338" s="23" t="str">
        <x:v>MAN-2025-00337</x:v>
      </x:c>
      <x:c r="B338" s="24" t="n">
        <x:v>45958</x:v>
      </x:c>
      <x:c r="C338" s="25" t="str">
        <x:v>Mansoura</x:v>
      </x:c>
      <x:c r="D338" s="25" t="str">
        <x:v>Sherbin</x:v>
      </x:c>
      <x:c r="E338" s="25" t="str">
        <x:v>Salma Mansour</x:v>
      </x:c>
      <x:c r="F338" s="25" t="str">
        <x:v>Mostafa Mansour</x:v>
      </x:c>
      <x:c r="G338" s="25" t="str">
        <x:v>Corporate</x:v>
      </x:c>
      <x:c r="H338" s="25" t="str">
        <x:v>Phone Order</x:v>
      </x:c>
      <x:c r="I338" s="25" t="str">
        <x:v>Office Supplies</x:v>
      </x:c>
      <x:c r="J338" s="25" t="str">
        <x:v>Ink Cartridge</x:v>
      </x:c>
      <x:c r="K338" s="25" t="n">
        <x:v>4</x:v>
      </x:c>
      <x:c r="L338" s="26" t="n">
        <x:v>841</x:v>
      </x:c>
      <x:c r="M338" s="27" t="n">
        <x:v>0</x:v>
      </x:c>
      <x:c r="N338" s="26" t="n">
        <x:f>K338*L338</x:f>
        <x:v>3364</x:v>
      </x:c>
      <x:c r="O338" s="26" t="n">
        <x:f>N338*(1-M338)</x:f>
        <x:v>3364</x:v>
      </x:c>
      <x:c r="P338" s="26" t="n">
        <x:v>566</x:v>
      </x:c>
      <x:c r="Q338" s="26" t="n">
        <x:f>K338*P338</x:f>
        <x:v>2264</x:v>
      </x:c>
      <x:c r="R338" s="26" t="n">
        <x:f>O338-Q338</x:f>
        <x:v>1100</x:v>
      </x:c>
      <x:c r="S338" s="28" t="n">
        <x:f>IF(O338=0,0,R338/O338)</x:f>
        <x:v>0.3269916765755054</x:v>
      </x:c>
      <x:c r="T338" s="25" t="str">
        <x:v>Bank Transfer</x:v>
      </x:c>
      <x:c r="U338" s="25" t="str">
        <x:v>Completed</x:v>
      </x:c>
      <x:c r="V338" s="29" t="n">
        <x:v>5</x:v>
      </x:c>
    </x:row>
    <x:row r="339">
      <x:c r="A339" s="23" t="str">
        <x:v>MAN-2025-00338</x:v>
      </x:c>
      <x:c r="B339" s="24" t="n">
        <x:v>45714</x:v>
      </x:c>
      <x:c r="C339" s="25" t="str">
        <x:v>Mansoura</x:v>
      </x:c>
      <x:c r="D339" s="25" t="str">
        <x:v>Sherbin</x:v>
      </x:c>
      <x:c r="E339" s="25" t="str">
        <x:v>Salma Mansour</x:v>
      </x:c>
      <x:c r="F339" s="25" t="str">
        <x:v>Mohamed Khalil</x:v>
      </x:c>
      <x:c r="G339" s="25" t="str">
        <x:v>Consumer</x:v>
      </x:c>
      <x:c r="H339" s="25" t="str">
        <x:v>Retail Store</x:v>
      </x:c>
      <x:c r="I339" s="25" t="str">
        <x:v>Office Supplies</x:v>
      </x:c>
      <x:c r="J339" s="25" t="str">
        <x:v>Ink Cartridge</x:v>
      </x:c>
      <x:c r="K339" s="25" t="n">
        <x:v>5</x:v>
      </x:c>
      <x:c r="L339" s="26" t="n">
        <x:v>875</x:v>
      </x:c>
      <x:c r="M339" s="27" t="n">
        <x:v>0.15</x:v>
      </x:c>
      <x:c r="N339" s="26" t="n">
        <x:f>K339*L339</x:f>
        <x:v>4375</x:v>
      </x:c>
      <x:c r="O339" s="26" t="n">
        <x:f>N339*(1-M339)</x:f>
        <x:v>3718.75</x:v>
      </x:c>
      <x:c r="P339" s="26" t="n">
        <x:v>576</x:v>
      </x:c>
      <x:c r="Q339" s="26" t="n">
        <x:f>K339*P339</x:f>
        <x:v>2880</x:v>
      </x:c>
      <x:c r="R339" s="26" t="n">
        <x:f>O339-Q339</x:f>
        <x:v>838.75</x:v>
      </x:c>
      <x:c r="S339" s="28" t="n">
        <x:f>IF(O339=0,0,R339/O339)</x:f>
        <x:v>0.22554621848739495</x:v>
      </x:c>
      <x:c r="T339" s="25" t="str">
        <x:v>Bank Transfer</x:v>
      </x:c>
      <x:c r="U339" s="25" t="str">
        <x:v>Returned</x:v>
      </x:c>
      <x:c r="V339" s="29" t="n">
        <x:v>3</x:v>
      </x:c>
    </x:row>
    <x:row r="340">
      <x:c r="A340" s="23" t="str">
        <x:v>MAN-2025-00339</x:v>
      </x:c>
      <x:c r="B340" s="24" t="n">
        <x:v>45967</x:v>
      </x:c>
      <x:c r="C340" s="25" t="str">
        <x:v>Mansoura</x:v>
      </x:c>
      <x:c r="D340" s="25" t="str">
        <x:v>Aga</x:v>
      </x:c>
      <x:c r="E340" s="25" t="str">
        <x:v>Youssef Fathy</x:v>
      </x:c>
      <x:c r="F340" s="25" t="str">
        <x:v>Mariam Samir</x:v>
      </x:c>
      <x:c r="G340" s="25" t="str">
        <x:v>Corporate</x:v>
      </x:c>
      <x:c r="H340" s="25" t="str">
        <x:v>Retail Store</x:v>
      </x:c>
      <x:c r="I340" s="25" t="str">
        <x:v>Electronics</x:v>
      </x:c>
      <x:c r="J340" s="25" t="str">
        <x:v>Smartphone</x:v>
      </x:c>
      <x:c r="K340" s="25" t="n">
        <x:v>2</x:v>
      </x:c>
      <x:c r="L340" s="26" t="n">
        <x:v>13543</x:v>
      </x:c>
      <x:c r="M340" s="27" t="n">
        <x:v>0.1</x:v>
      </x:c>
      <x:c r="N340" s="26" t="n">
        <x:f>K340*L340</x:f>
        <x:v>27086</x:v>
      </x:c>
      <x:c r="O340" s="26" t="n">
        <x:f>N340*(1-M340)</x:f>
        <x:v>24377.4</x:v>
      </x:c>
      <x:c r="P340" s="26" t="n">
        <x:v>10585</x:v>
      </x:c>
      <x:c r="Q340" s="26" t="n">
        <x:f>K340*P340</x:f>
        <x:v>21170</x:v>
      </x:c>
      <x:c r="R340" s="26" t="n">
        <x:f>O340-Q340</x:f>
        <x:v>3207.4000000000015</x:v>
      </x:c>
      <x:c r="S340" s="28" t="n">
        <x:f>IF(O340=0,0,R340/O340)</x:f>
        <x:v>0.1315726861765406</x:v>
      </x:c>
      <x:c r="T340" s="25" t="str">
        <x:v>Bank Transfer</x:v>
      </x:c>
      <x:c r="U340" s="25" t="str">
        <x:v>Completed</x:v>
      </x:c>
      <x:c r="V340" s="29" t="n">
        <x:v>4</x:v>
      </x:c>
    </x:row>
    <x:row r="341">
      <x:c r="A341" s="23" t="str">
        <x:v>MAN-2025-00340</x:v>
      </x:c>
      <x:c r="B341" s="24" t="n">
        <x:v>45663</x:v>
      </x:c>
      <x:c r="C341" s="25" t="str">
        <x:v>Mansoura</x:v>
      </x:c>
      <x:c r="D341" s="25" t="str">
        <x:v>Mansoura City</x:v>
      </x:c>
      <x:c r="E341" s="25" t="str">
        <x:v>Ali Sayed</x:v>
      </x:c>
      <x:c r="F341" s="25" t="str">
        <x:v>Mohamed Farouk</x:v>
      </x:c>
      <x:c r="G341" s="25" t="str">
        <x:v>Consumer</x:v>
      </x:c>
      <x:c r="H341" s="25" t="str">
        <x:v>Website</x:v>
      </x:c>
      <x:c r="I341" s="25" t="str">
        <x:v>Electronics</x:v>
      </x:c>
      <x:c r="J341" s="25" t="str">
        <x:v>Headphones</x:v>
      </x:c>
      <x:c r="K341" s="25" t="n">
        <x:v>1</x:v>
      </x:c>
      <x:c r="L341" s="26" t="n">
        <x:v>1758</x:v>
      </x:c>
      <x:c r="M341" s="27" t="n">
        <x:v>0</x:v>
      </x:c>
      <x:c r="N341" s="26" t="n">
        <x:f>K341*L341</x:f>
        <x:v>1758</x:v>
      </x:c>
      <x:c r="O341" s="26" t="n">
        <x:f>N341*(1-M341)</x:f>
        <x:v>1758</x:v>
      </x:c>
      <x:c r="P341" s="26" t="n">
        <x:v>1070</x:v>
      </x:c>
      <x:c r="Q341" s="26" t="n">
        <x:f>K341*P341</x:f>
        <x:v>1070</x:v>
      </x:c>
      <x:c r="R341" s="26" t="n">
        <x:f>O341-Q341</x:f>
        <x:v>688</x:v>
      </x:c>
      <x:c r="S341" s="28" t="n">
        <x:f>IF(O341=0,0,R341/O341)</x:f>
        <x:v>0.391353811149033</x:v>
      </x:c>
      <x:c r="T341" s="25" t="str">
        <x:v>Debit Card</x:v>
      </x:c>
      <x:c r="U341" s="25" t="str">
        <x:v>Completed</x:v>
      </x:c>
      <x:c r="V341" s="29" t="n">
        <x:v>5</x:v>
      </x:c>
    </x:row>
    <x:row r="342">
      <x:c r="A342" s="23" t="str">
        <x:v>MAN-2025-00341</x:v>
      </x:c>
      <x:c r="B342" s="24" t="n">
        <x:v>45880</x:v>
      </x:c>
      <x:c r="C342" s="25" t="str">
        <x:v>Mansoura</x:v>
      </x:c>
      <x:c r="D342" s="25" t="str">
        <x:v>Sherbin</x:v>
      </x:c>
      <x:c r="E342" s="25" t="str">
        <x:v>Salma Mansour</x:v>
      </x:c>
      <x:c r="F342" s="25" t="str">
        <x:v>Mostafa Gamal</x:v>
      </x:c>
      <x:c r="G342" s="25" t="str">
        <x:v>Small Business</x:v>
      </x:c>
      <x:c r="H342" s="25" t="str">
        <x:v>Website</x:v>
      </x:c>
      <x:c r="I342" s="25" t="str">
        <x:v>Electronics</x:v>
      </x:c>
      <x:c r="J342" s="25" t="str">
        <x:v>Laptop</x:v>
      </x:c>
      <x:c r="K342" s="25" t="n">
        <x:v>4</x:v>
      </x:c>
      <x:c r="L342" s="26" t="n">
        <x:v>24277</x:v>
      </x:c>
      <x:c r="M342" s="27" t="n">
        <x:v>0</x:v>
      </x:c>
      <x:c r="N342" s="26" t="n">
        <x:f>K342*L342</x:f>
        <x:v>97108</x:v>
      </x:c>
      <x:c r="O342" s="26" t="n">
        <x:f>N342*(1-M342)</x:f>
        <x:v>97108</x:v>
      </x:c>
      <x:c r="P342" s="26" t="n">
        <x:v>21574</x:v>
      </x:c>
      <x:c r="Q342" s="26" t="n">
        <x:f>K342*P342</x:f>
        <x:v>86296</x:v>
      </x:c>
      <x:c r="R342" s="26" t="n">
        <x:f>O342-Q342</x:f>
        <x:v>10812</x:v>
      </x:c>
      <x:c r="S342" s="28" t="n">
        <x:f>IF(O342=0,0,R342/O342)</x:f>
        <x:v>0.11133995139432384</x:v>
      </x:c>
      <x:c r="T342" s="25" t="str">
        <x:v>Bank Transfer</x:v>
      </x:c>
      <x:c r="U342" s="25" t="str">
        <x:v>Completed</x:v>
      </x:c>
      <x:c r="V342" s="29" t="n">
        <x:v>5</x:v>
      </x:c>
    </x:row>
    <x:row r="343">
      <x:c r="A343" s="23" t="str">
        <x:v>MAN-2025-00342</x:v>
      </x:c>
      <x:c r="B343" s="24" t="n">
        <x:v>45950</x:v>
      </x:c>
      <x:c r="C343" s="25" t="str">
        <x:v>Mansoura</x:v>
      </x:c>
      <x:c r="D343" s="25" t="str">
        <x:v>Sherbin</x:v>
      </x:c>
      <x:c r="E343" s="25" t="str">
        <x:v>Aya Farouk</x:v>
      </x:c>
      <x:c r="F343" s="25" t="str">
        <x:v>Sara Fathy</x:v>
      </x:c>
      <x:c r="G343" s="25" t="str">
        <x:v>Small Business</x:v>
      </x:c>
      <x:c r="H343" s="25" t="str">
        <x:v>Mobile App</x:v>
      </x:c>
      <x:c r="I343" s="25" t="str">
        <x:v>Office Supplies</x:v>
      </x:c>
      <x:c r="J343" s="25" t="str">
        <x:v>Paper Box</x:v>
      </x:c>
      <x:c r="K343" s="25" t="n">
        <x:v>2</x:v>
      </x:c>
      <x:c r="L343" s="26" t="n">
        <x:v>395</x:v>
      </x:c>
      <x:c r="M343" s="27" t="n">
        <x:v>0.05</x:v>
      </x:c>
      <x:c r="N343" s="26" t="n">
        <x:f>K343*L343</x:f>
        <x:v>790</x:v>
      </x:c>
      <x:c r="O343" s="26" t="n">
        <x:f>N343*(1-M343)</x:f>
        <x:v>750.5</x:v>
      </x:c>
      <x:c r="P343" s="26" t="n">
        <x:v>259</x:v>
      </x:c>
      <x:c r="Q343" s="26" t="n">
        <x:f>K343*P343</x:f>
        <x:v>518</x:v>
      </x:c>
      <x:c r="R343" s="26" t="n">
        <x:f>O343-Q343</x:f>
        <x:v>232.5</x:v>
      </x:c>
      <x:c r="S343" s="28" t="n">
        <x:f>IF(O343=0,0,R343/O343)</x:f>
        <x:v>0.3097934710193205</x:v>
      </x:c>
      <x:c r="T343" s="25" t="str">
        <x:v>Digital Wallet</x:v>
      </x:c>
      <x:c r="U343" s="25" t="str">
        <x:v>Completed</x:v>
      </x:c>
      <x:c r="V343" s="29" t="n">
        <x:v>4</x:v>
      </x:c>
    </x:row>
    <x:row r="344">
      <x:c r="A344" s="23" t="str">
        <x:v>MAN-2025-00343</x:v>
      </x:c>
      <x:c r="B344" s="24" t="n">
        <x:v>45682</x:v>
      </x:c>
      <x:c r="C344" s="25" t="str">
        <x:v>Mansoura</x:v>
      </x:c>
      <x:c r="D344" s="25" t="str">
        <x:v>Aga</x:v>
      </x:c>
      <x:c r="E344" s="25" t="str">
        <x:v>Youssef Fathy</x:v>
      </x:c>
      <x:c r="F344" s="25" t="str">
        <x:v>Ali Hassan</x:v>
      </x:c>
      <x:c r="G344" s="25" t="str">
        <x:v>Consumer</x:v>
      </x:c>
      <x:c r="H344" s="25" t="str">
        <x:v>Phone Order</x:v>
      </x:c>
      <x:c r="I344" s="25" t="str">
        <x:v>Electronics</x:v>
      </x:c>
      <x:c r="J344" s="25" t="str">
        <x:v>Smartphone</x:v>
      </x:c>
      <x:c r="K344" s="25" t="n">
        <x:v>5</x:v>
      </x:c>
      <x:c r="L344" s="26" t="n">
        <x:v>12469</x:v>
      </x:c>
      <x:c r="M344" s="27" t="n">
        <x:v>0.05</x:v>
      </x:c>
      <x:c r="N344" s="26" t="n">
        <x:f>K344*L344</x:f>
        <x:v>62345</x:v>
      </x:c>
      <x:c r="O344" s="26" t="n">
        <x:f>N344*(1-M344)</x:f>
        <x:v>59227.75</x:v>
      </x:c>
      <x:c r="P344" s="26" t="n">
        <x:v>10964</x:v>
      </x:c>
      <x:c r="Q344" s="26" t="n">
        <x:f>K344*P344</x:f>
        <x:v>54820</x:v>
      </x:c>
      <x:c r="R344" s="26" t="n">
        <x:f>O344-Q344</x:f>
        <x:v>4407.75</x:v>
      </x:c>
      <x:c r="S344" s="28" t="n">
        <x:f>IF(O344=0,0,R344/O344)</x:f>
        <x:v>0.07442035194651156</x:v>
      </x:c>
      <x:c r="T344" s="25" t="str">
        <x:v>Digital Wallet</x:v>
      </x:c>
      <x:c r="U344" s="25" t="str">
        <x:v>Completed</x:v>
      </x:c>
      <x:c r="V344" s="29" t="n">
        <x:v>3</x:v>
      </x:c>
    </x:row>
    <x:row r="345">
      <x:c r="A345" s="23" t="str">
        <x:v>MAN-2025-00344</x:v>
      </x:c>
      <x:c r="B345" s="24" t="n">
        <x:v>45918</x:v>
      </x:c>
      <x:c r="C345" s="25" t="str">
        <x:v>Mansoura</x:v>
      </x:c>
      <x:c r="D345" s="25" t="str">
        <x:v>Mansoura City</x:v>
      </x:c>
      <x:c r="E345" s="25" t="str">
        <x:v>Ali Sayed</x:v>
      </x:c>
      <x:c r="F345" s="25" t="str">
        <x:v>Hana Gamal</x:v>
      </x:c>
      <x:c r="G345" s="25" t="str">
        <x:v>Consumer</x:v>
      </x:c>
      <x:c r="H345" s="25" t="str">
        <x:v>Retail Store</x:v>
      </x:c>
      <x:c r="I345" s="25" t="str">
        <x:v>Furniture</x:v>
      </x:c>
      <x:c r="J345" s="25" t="str">
        <x:v>Bookshelf</x:v>
      </x:c>
      <x:c r="K345" s="25" t="n">
        <x:v>4</x:v>
      </x:c>
      <x:c r="L345" s="26" t="n">
        <x:v>2888</x:v>
      </x:c>
      <x:c r="M345" s="27" t="n">
        <x:v>0.05</x:v>
      </x:c>
      <x:c r="N345" s="26" t="n">
        <x:f>K345*L345</x:f>
        <x:v>11552</x:v>
      </x:c>
      <x:c r="O345" s="26" t="n">
        <x:f>N345*(1-M345)</x:f>
        <x:v>10974.4</x:v>
      </x:c>
      <x:c r="P345" s="26" t="n">
        <x:v>2238</x:v>
      </x:c>
      <x:c r="Q345" s="26" t="n">
        <x:f>K345*P345</x:f>
        <x:v>8952</x:v>
      </x:c>
      <x:c r="R345" s="26" t="n">
        <x:f>O345-Q345</x:f>
        <x:v>2022.3999999999996</x:v>
      </x:c>
      <x:c r="S345" s="28" t="n">
        <x:f>IF(O345=0,0,R345/O345)</x:f>
        <x:v>0.18428342323953925</x:v>
      </x:c>
      <x:c r="T345" s="25" t="str">
        <x:v>Credit Card</x:v>
      </x:c>
      <x:c r="U345" s="25" t="str">
        <x:v>Completed</x:v>
      </x:c>
      <x:c r="V345" s="29" t="n">
        <x:v>4</x:v>
      </x:c>
    </x:row>
    <x:row r="346">
      <x:c r="A346" s="23" t="str">
        <x:v>MAN-2025-00345</x:v>
      </x:c>
      <x:c r="B346" s="24" t="n">
        <x:v>45874</x:v>
      </x:c>
      <x:c r="C346" s="25" t="str">
        <x:v>Mansoura</x:v>
      </x:c>
      <x:c r="D346" s="25" t="str">
        <x:v>Talkha</x:v>
      </x:c>
      <x:c r="E346" s="25" t="str">
        <x:v>Salma Mansour</x:v>
      </x:c>
      <x:c r="F346" s="25" t="str">
        <x:v>Mostafa Adel</x:v>
      </x:c>
      <x:c r="G346" s="25" t="str">
        <x:v>Consumer</x:v>
      </x:c>
      <x:c r="H346" s="25" t="str">
        <x:v>Retail Store</x:v>
      </x:c>
      <x:c r="I346" s="25" t="str">
        <x:v>Electronics</x:v>
      </x:c>
      <x:c r="J346" s="25" t="str">
        <x:v>Headphones</x:v>
      </x:c>
      <x:c r="K346" s="25" t="n">
        <x:v>1</x:v>
      </x:c>
      <x:c r="L346" s="26" t="n">
        <x:v>1774</x:v>
      </x:c>
      <x:c r="M346" s="27" t="n">
        <x:v>0.15</x:v>
      </x:c>
      <x:c r="N346" s="26" t="n">
        <x:f>K346*L346</x:f>
        <x:v>1774</x:v>
      </x:c>
      <x:c r="O346" s="26" t="n">
        <x:f>N346*(1-M346)</x:f>
        <x:v>1507.8999999999999</x:v>
      </x:c>
      <x:c r="P346" s="26" t="n">
        <x:v>1086</x:v>
      </x:c>
      <x:c r="Q346" s="26" t="n">
        <x:f>K346*P346</x:f>
        <x:v>1086</x:v>
      </x:c>
      <x:c r="R346" s="26" t="n">
        <x:f>O346-Q346</x:f>
        <x:v>421.89999999999986</x:v>
      </x:c>
      <x:c r="S346" s="28" t="n">
        <x:f>IF(O346=0,0,R346/O346)</x:f>
        <x:v>0.27979308972743544</x:v>
      </x:c>
      <x:c r="T346" s="25" t="str">
        <x:v>Cash</x:v>
      </x:c>
      <x:c r="U346" s="25" t="str">
        <x:v>Returned</x:v>
      </x:c>
      <x:c r="V346" s="29" t="n">
        <x:v>5</x:v>
      </x:c>
    </x:row>
    <x:row r="347">
      <x:c r="A347" s="23" t="str">
        <x:v>MAN-2025-00346</x:v>
      </x:c>
      <x:c r="B347" s="24" t="n">
        <x:v>45794</x:v>
      </x:c>
      <x:c r="C347" s="25" t="str">
        <x:v>Mansoura</x:v>
      </x:c>
      <x:c r="D347" s="25" t="str">
        <x:v>Sherbin</x:v>
      </x:c>
      <x:c r="E347" s="25" t="str">
        <x:v>Youssef Fathy</x:v>
      </x:c>
      <x:c r="F347" s="25" t="str">
        <x:v>Youssef Farouk</x:v>
      </x:c>
      <x:c r="G347" s="25" t="str">
        <x:v>Small Business</x:v>
      </x:c>
      <x:c r="H347" s="25" t="str">
        <x:v>Website</x:v>
      </x:c>
      <x:c r="I347" s="25" t="str">
        <x:v>Electronics</x:v>
      </x:c>
      <x:c r="J347" s="25" t="str">
        <x:v>Tablet</x:v>
      </x:c>
      <x:c r="K347" s="25" t="n">
        <x:v>5</x:v>
      </x:c>
      <x:c r="L347" s="26" t="n">
        <x:v>9472</x:v>
      </x:c>
      <x:c r="M347" s="27" t="n">
        <x:v>0.05</x:v>
      </x:c>
      <x:c r="N347" s="26" t="n">
        <x:f>K347*L347</x:f>
        <x:v>47360</x:v>
      </x:c>
      <x:c r="O347" s="26" t="n">
        <x:f>N347*(1-M347)</x:f>
        <x:v>44992</x:v>
      </x:c>
      <x:c r="P347" s="26" t="n">
        <x:v>7428</x:v>
      </x:c>
      <x:c r="Q347" s="26" t="n">
        <x:f>K347*P347</x:f>
        <x:v>37140</x:v>
      </x:c>
      <x:c r="R347" s="26" t="n">
        <x:f>O347-Q347</x:f>
        <x:v>7852</x:v>
      </x:c>
      <x:c r="S347" s="28" t="n">
        <x:f>IF(O347=0,0,R347/O347)</x:f>
        <x:v>0.1745199146514936</x:v>
      </x:c>
      <x:c r="T347" s="25" t="str">
        <x:v>Bank Transfer</x:v>
      </x:c>
      <x:c r="U347" s="25" t="str">
        <x:v>Returned</x:v>
      </x:c>
      <x:c r="V347" s="29" t="n">
        <x:v>5</x:v>
      </x:c>
    </x:row>
    <x:row r="348">
      <x:c r="A348" s="23" t="str">
        <x:v>MAN-2025-00347</x:v>
      </x:c>
      <x:c r="B348" s="24" t="n">
        <x:v>45863</x:v>
      </x:c>
      <x:c r="C348" s="25" t="str">
        <x:v>Mansoura</x:v>
      </x:c>
      <x:c r="D348" s="25" t="str">
        <x:v>Mit Ghamr</x:v>
      </x:c>
      <x:c r="E348" s="25" t="str">
        <x:v>Ali Sayed</x:v>
      </x:c>
      <x:c r="F348" s="25" t="str">
        <x:v>Mohamed Nasser</x:v>
      </x:c>
      <x:c r="G348" s="25" t="str">
        <x:v>Corporate</x:v>
      </x:c>
      <x:c r="H348" s="25" t="str">
        <x:v>Retail Store</x:v>
      </x:c>
      <x:c r="I348" s="25" t="str">
        <x:v>Home Appliances</x:v>
      </x:c>
      <x:c r="J348" s="25" t="str">
        <x:v>Air Conditioner</x:v>
      </x:c>
      <x:c r="K348" s="25" t="n">
        <x:v>2</x:v>
      </x:c>
      <x:c r="L348" s="26" t="n">
        <x:v>19749</x:v>
      </x:c>
      <x:c r="M348" s="27" t="n">
        <x:v>0.05</x:v>
      </x:c>
      <x:c r="N348" s="26" t="n">
        <x:f>K348*L348</x:f>
        <x:v>39498</x:v>
      </x:c>
      <x:c r="O348" s="26" t="n">
        <x:f>N348*(1-M348)</x:f>
        <x:v>37523.1</x:v>
      </x:c>
      <x:c r="P348" s="26" t="n">
        <x:v>17875</x:v>
      </x:c>
      <x:c r="Q348" s="26" t="n">
        <x:f>K348*P348</x:f>
        <x:v>35750</x:v>
      </x:c>
      <x:c r="R348" s="26" t="n">
        <x:f>O348-Q348</x:f>
        <x:v>1773.0999999999985</x:v>
      </x:c>
      <x:c r="S348" s="28" t="n">
        <x:f>IF(O348=0,0,R348/O348)</x:f>
        <x:v>0.04725355847464625</x:v>
      </x:c>
      <x:c r="T348" s="25" t="str">
        <x:v>Credit Card</x:v>
      </x:c>
      <x:c r="U348" s="25" t="str">
        <x:v>Completed</x:v>
      </x:c>
      <x:c r="V348" s="29" t="n">
        <x:v>5</x:v>
      </x:c>
    </x:row>
    <x:row r="349">
      <x:c r="A349" s="23" t="str">
        <x:v>MAN-2025-00348</x:v>
      </x:c>
      <x:c r="B349" s="24" t="n">
        <x:v>45844</x:v>
      </x:c>
      <x:c r="C349" s="25" t="str">
        <x:v>Mansoura</x:v>
      </x:c>
      <x:c r="D349" s="25" t="str">
        <x:v>Talkha</x:v>
      </x:c>
      <x:c r="E349" s="25" t="str">
        <x:v>Youssef Fathy</x:v>
      </x:c>
      <x:c r="F349" s="25" t="str">
        <x:v>Youssef Tarek</x:v>
      </x:c>
      <x:c r="G349" s="25" t="str">
        <x:v>Consumer</x:v>
      </x:c>
      <x:c r="H349" s="25" t="str">
        <x:v>Phone Order</x:v>
      </x:c>
      <x:c r="I349" s="25" t="str">
        <x:v>Office Supplies</x:v>
      </x:c>
      <x:c r="J349" s="25" t="str">
        <x:v>Paper Box</x:v>
      </x:c>
      <x:c r="K349" s="25" t="n">
        <x:v>1</x:v>
      </x:c>
      <x:c r="L349" s="26" t="n">
        <x:v>361</x:v>
      </x:c>
      <x:c r="M349" s="27" t="n">
        <x:v>0.1</x:v>
      </x:c>
      <x:c r="N349" s="26" t="n">
        <x:f>K349*L349</x:f>
        <x:v>361</x:v>
      </x:c>
      <x:c r="O349" s="26" t="n">
        <x:f>N349*(1-M349)</x:f>
        <x:v>324.90000000000003</x:v>
      </x:c>
      <x:c r="P349" s="26" t="n">
        <x:v>268</x:v>
      </x:c>
      <x:c r="Q349" s="26" t="n">
        <x:f>K349*P349</x:f>
        <x:v>268</x:v>
      </x:c>
      <x:c r="R349" s="26" t="n">
        <x:f>O349-Q349</x:f>
        <x:v>56.900000000000034</x:v>
      </x:c>
      <x:c r="S349" s="28" t="n">
        <x:f>IF(O349=0,0,R349/O349)</x:f>
        <x:v>0.17513080947984003</x:v>
      </x:c>
      <x:c r="T349" s="25" t="str">
        <x:v>Credit Card</x:v>
      </x:c>
      <x:c r="U349" s="25" t="str">
        <x:v>Completed</x:v>
      </x:c>
      <x:c r="V349" s="29" t="n">
        <x:v>3</x:v>
      </x:c>
    </x:row>
    <x:row r="350">
      <x:c r="A350" s="23" t="str">
        <x:v>MAN-2025-00349</x:v>
      </x:c>
      <x:c r="B350" s="24" t="n">
        <x:v>45678</x:v>
      </x:c>
      <x:c r="C350" s="25" t="str">
        <x:v>Mansoura</x:v>
      </x:c>
      <x:c r="D350" s="25" t="str">
        <x:v>Mit Ghamr</x:v>
      </x:c>
      <x:c r="E350" s="25" t="str">
        <x:v>Salma Mansour</x:v>
      </x:c>
      <x:c r="F350" s="25" t="str">
        <x:v>Amr Tarek</x:v>
      </x:c>
      <x:c r="G350" s="25" t="str">
        <x:v>Consumer</x:v>
      </x:c>
      <x:c r="H350" s="25" t="str">
        <x:v>Phone Order</x:v>
      </x:c>
      <x:c r="I350" s="25" t="str">
        <x:v>Electronics</x:v>
      </x:c>
      <x:c r="J350" s="25" t="str">
        <x:v>Laptop</x:v>
      </x:c>
      <x:c r="K350" s="25" t="n">
        <x:v>4</x:v>
      </x:c>
      <x:c r="L350" s="26" t="n">
        <x:v>25304</x:v>
      </x:c>
      <x:c r="M350" s="27" t="n">
        <x:v>0</x:v>
      </x:c>
      <x:c r="N350" s="26" t="n">
        <x:f>K350*L350</x:f>
        <x:v>101216</x:v>
      </x:c>
      <x:c r="O350" s="26" t="n">
        <x:f>N350*(1-M350)</x:f>
        <x:v>101216</x:v>
      </x:c>
      <x:c r="P350" s="26" t="n">
        <x:v>20973</x:v>
      </x:c>
      <x:c r="Q350" s="26" t="n">
        <x:f>K350*P350</x:f>
        <x:v>83892</x:v>
      </x:c>
      <x:c r="R350" s="26" t="n">
        <x:f>O350-Q350</x:f>
        <x:v>17324</x:v>
      </x:c>
      <x:c r="S350" s="28" t="n">
        <x:f>IF(O350=0,0,R350/O350)</x:f>
        <x:v>0.171158710085362</x:v>
      </x:c>
      <x:c r="T350" s="25" t="str">
        <x:v>Debit Card</x:v>
      </x:c>
      <x:c r="U350" s="25" t="str">
        <x:v>Completed</x:v>
      </x:c>
      <x:c r="V350" s="29" t="n">
        <x:v>5</x:v>
      </x:c>
    </x:row>
    <x:row r="351">
      <x:c r="A351" s="23" t="str">
        <x:v>MAN-2025-00350</x:v>
      </x:c>
      <x:c r="B351" s="24" t="n">
        <x:v>45715</x:v>
      </x:c>
      <x:c r="C351" s="25" t="str">
        <x:v>Mansoura</x:v>
      </x:c>
      <x:c r="D351" s="25" t="str">
        <x:v>Mansoura City</x:v>
      </x:c>
      <x:c r="E351" s="25" t="str">
        <x:v>Youssef Fathy</x:v>
      </x:c>
      <x:c r="F351" s="25" t="str">
        <x:v>Omar Fathy</x:v>
      </x:c>
      <x:c r="G351" s="25" t="str">
        <x:v>Consumer</x:v>
      </x:c>
      <x:c r="H351" s="25" t="str">
        <x:v>Phone Order</x:v>
      </x:c>
      <x:c r="I351" s="25" t="str">
        <x:v>Home Appliances</x:v>
      </x:c>
      <x:c r="J351" s="25" t="str">
        <x:v>Air Conditioner</x:v>
      </x:c>
      <x:c r="K351" s="25" t="n">
        <x:v>6</x:v>
      </x:c>
      <x:c r="L351" s="26" t="n">
        <x:v>19797</x:v>
      </x:c>
      <x:c r="M351" s="27" t="n">
        <x:v>0</x:v>
      </x:c>
      <x:c r="N351" s="26" t="n">
        <x:f>K351*L351</x:f>
        <x:v>118782</x:v>
      </x:c>
      <x:c r="O351" s="26" t="n">
        <x:f>N351*(1-M351)</x:f>
        <x:v>118782</x:v>
      </x:c>
      <x:c r="P351" s="26" t="n">
        <x:v>17196</x:v>
      </x:c>
      <x:c r="Q351" s="26" t="n">
        <x:f>K351*P351</x:f>
        <x:v>103176</x:v>
      </x:c>
      <x:c r="R351" s="26" t="n">
        <x:f>O351-Q351</x:f>
        <x:v>15606</x:v>
      </x:c>
      <x:c r="S351" s="28" t="n">
        <x:f>IF(O351=0,0,R351/O351)</x:f>
        <x:v>0.1313835429610547</x:v>
      </x:c>
      <x:c r="T351" s="25" t="str">
        <x:v>Cash</x:v>
      </x:c>
      <x:c r="U351" s="25" t="str">
        <x:v>Completed</x:v>
      </x:c>
      <x:c r="V351" s="29" t="n">
        <x:v>4</x:v>
      </x:c>
    </x:row>
    <x:row r="352">
      <x:c r="A352" s="23" t="str">
        <x:v>MAN-2025-00351</x:v>
      </x:c>
      <x:c r="B352" s="24" t="n">
        <x:v>45731</x:v>
      </x:c>
      <x:c r="C352" s="25" t="str">
        <x:v>Mansoura</x:v>
      </x:c>
      <x:c r="D352" s="25" t="str">
        <x:v>Mit Ghamr</x:v>
      </x:c>
      <x:c r="E352" s="25" t="str">
        <x:v>Youssef Fathy</x:v>
      </x:c>
      <x:c r="F352" s="25" t="str">
        <x:v>Mostafa Samir</x:v>
      </x:c>
      <x:c r="G352" s="25" t="str">
        <x:v>Corporate</x:v>
      </x:c>
      <x:c r="H352" s="25" t="str">
        <x:v>Retail Store</x:v>
      </x:c>
      <x:c r="I352" s="25" t="str">
        <x:v>Furniture</x:v>
      </x:c>
      <x:c r="J352" s="25" t="str">
        <x:v>Bookshelf</x:v>
      </x:c>
      <x:c r="K352" s="25" t="n">
        <x:v>1</x:v>
      </x:c>
      <x:c r="L352" s="26" t="n">
        <x:v>3172</x:v>
      </x:c>
      <x:c r="M352" s="27" t="n">
        <x:v>0.1</x:v>
      </x:c>
      <x:c r="N352" s="26" t="n">
        <x:f>K352*L352</x:f>
        <x:v>3172</x:v>
      </x:c>
      <x:c r="O352" s="26" t="n">
        <x:f>N352*(1-M352)</x:f>
        <x:v>2854.8</x:v>
      </x:c>
      <x:c r="P352" s="26" t="n">
        <x:v>2139</x:v>
      </x:c>
      <x:c r="Q352" s="26" t="n">
        <x:f>K352*P352</x:f>
        <x:v>2139</x:v>
      </x:c>
      <x:c r="R352" s="26" t="n">
        <x:f>O352-Q352</x:f>
        <x:v>715.8000000000002</x:v>
      </x:c>
      <x:c r="S352" s="28" t="n">
        <x:f>IF(O352=0,0,R352/O352)</x:f>
        <x:v>0.2507356031946196</x:v>
      </x:c>
      <x:c r="T352" s="25" t="str">
        <x:v>Bank Transfer</x:v>
      </x:c>
      <x:c r="U352" s="25" t="str">
        <x:v>Completed</x:v>
      </x:c>
      <x:c r="V352" s="29" t="n">
        <x:v>5</x:v>
      </x:c>
    </x:row>
    <x:row r="353">
      <x:c r="A353" s="23" t="str">
        <x:v>MAN-2025-00352</x:v>
      </x:c>
      <x:c r="B353" s="24" t="n">
        <x:v>45966</x:v>
      </x:c>
      <x:c r="C353" s="25" t="str">
        <x:v>Mansoura</x:v>
      </x:c>
      <x:c r="D353" s="25" t="str">
        <x:v>Talkha</x:v>
      </x:c>
      <x:c r="E353" s="25" t="str">
        <x:v>Salma Mansour</x:v>
      </x:c>
      <x:c r="F353" s="25" t="str">
        <x:v>Farah Mansour</x:v>
      </x:c>
      <x:c r="G353" s="25" t="str">
        <x:v>Consumer</x:v>
      </x:c>
      <x:c r="H353" s="25" t="str">
        <x:v>Mobile App</x:v>
      </x:c>
      <x:c r="I353" s="25" t="str">
        <x:v>Electronics</x:v>
      </x:c>
      <x:c r="J353" s="25" t="str">
        <x:v>Smartphone</x:v>
      </x:c>
      <x:c r="K353" s="25" t="n">
        <x:v>6</x:v>
      </x:c>
      <x:c r="L353" s="26" t="n">
        <x:v>13619</x:v>
      </x:c>
      <x:c r="M353" s="27" t="n">
        <x:v>0</x:v>
      </x:c>
      <x:c r="N353" s="26" t="n">
        <x:f>K353*L353</x:f>
        <x:v>81714</x:v>
      </x:c>
      <x:c r="O353" s="26" t="n">
        <x:f>N353*(1-M353)</x:f>
        <x:v>81714</x:v>
      </x:c>
      <x:c r="P353" s="26" t="n">
        <x:v>10882</x:v>
      </x:c>
      <x:c r="Q353" s="26" t="n">
        <x:f>K353*P353</x:f>
        <x:v>65292</x:v>
      </x:c>
      <x:c r="R353" s="26" t="n">
        <x:f>O353-Q353</x:f>
        <x:v>16422</x:v>
      </x:c>
      <x:c r="S353" s="28" t="n">
        <x:f>IF(O353=0,0,R353/O353)</x:f>
        <x:v>0.2009692341581614</x:v>
      </x:c>
      <x:c r="T353" s="25" t="str">
        <x:v>Cash</x:v>
      </x:c>
      <x:c r="U353" s="25" t="str">
        <x:v>Cancelled</x:v>
      </x:c>
      <x:c r="V353" s="29" t="n">
        <x:v>4</x:v>
      </x:c>
    </x:row>
    <x:row r="354">
      <x:c r="A354" s="23" t="str">
        <x:v>MAN-2025-00353</x:v>
      </x:c>
      <x:c r="B354" s="24" t="n">
        <x:v>45815</x:v>
      </x:c>
      <x:c r="C354" s="25" t="str">
        <x:v>Mansoura</x:v>
      </x:c>
      <x:c r="D354" s="25" t="str">
        <x:v>Mansoura City</x:v>
      </x:c>
      <x:c r="E354" s="25" t="str">
        <x:v>Youssef Fathy</x:v>
      </x:c>
      <x:c r="F354" s="25" t="str">
        <x:v>Mostafa Hassan</x:v>
      </x:c>
      <x:c r="G354" s="25" t="str">
        <x:v>Corporate</x:v>
      </x:c>
      <x:c r="H354" s="25" t="str">
        <x:v>Retail Store</x:v>
      </x:c>
      <x:c r="I354" s="25" t="str">
        <x:v>Electronics</x:v>
      </x:c>
      <x:c r="J354" s="25" t="str">
        <x:v>Smartphone</x:v>
      </x:c>
      <x:c r="K354" s="25" t="n">
        <x:v>3</x:v>
      </x:c>
      <x:c r="L354" s="26" t="n">
        <x:v>13297</x:v>
      </x:c>
      <x:c r="M354" s="27" t="n">
        <x:v>0</x:v>
      </x:c>
      <x:c r="N354" s="26" t="n">
        <x:f>K354*L354</x:f>
        <x:v>39891</x:v>
      </x:c>
      <x:c r="O354" s="26" t="n">
        <x:f>N354*(1-M354)</x:f>
        <x:v>39891</x:v>
      </x:c>
      <x:c r="P354" s="26" t="n">
        <x:v>10825</x:v>
      </x:c>
      <x:c r="Q354" s="26" t="n">
        <x:f>K354*P354</x:f>
        <x:v>32475</x:v>
      </x:c>
      <x:c r="R354" s="26" t="n">
        <x:f>O354-Q354</x:f>
        <x:v>7416</x:v>
      </x:c>
      <x:c r="S354" s="28" t="n">
        <x:f>IF(O354=0,0,R354/O354)</x:f>
        <x:v>0.185906595472663</x:v>
      </x:c>
      <x:c r="T354" s="25" t="str">
        <x:v>Digital Wallet</x:v>
      </x:c>
      <x:c r="U354" s="25" t="str">
        <x:v>Completed</x:v>
      </x:c>
      <x:c r="V354" s="29" t="n">
        <x:v>4</x:v>
      </x:c>
    </x:row>
    <x:row r="355">
      <x:c r="A355" s="23" t="str">
        <x:v>MAN-2025-00354</x:v>
      </x:c>
      <x:c r="B355" s="24" t="n">
        <x:v>45958</x:v>
      </x:c>
      <x:c r="C355" s="25" t="str">
        <x:v>Mansoura</x:v>
      </x:c>
      <x:c r="D355" s="25" t="str">
        <x:v>Aga</x:v>
      </x:c>
      <x:c r="E355" s="25" t="str">
        <x:v>Youssef Fathy</x:v>
      </x:c>
      <x:c r="F355" s="25" t="str">
        <x:v>Sara Samir</x:v>
      </x:c>
      <x:c r="G355" s="25" t="str">
        <x:v>Small Business</x:v>
      </x:c>
      <x:c r="H355" s="25" t="str">
        <x:v>Mobile App</x:v>
      </x:c>
      <x:c r="I355" s="25" t="str">
        <x:v>Home Appliances</x:v>
      </x:c>
      <x:c r="J355" s="25" t="str">
        <x:v>Washing Machine</x:v>
      </x:c>
      <x:c r="K355" s="25" t="n">
        <x:v>1</x:v>
      </x:c>
      <x:c r="L355" s="26" t="n">
        <x:v>15551</x:v>
      </x:c>
      <x:c r="M355" s="27" t="n">
        <x:v>0</x:v>
      </x:c>
      <x:c r="N355" s="26" t="n">
        <x:f>K355*L355</x:f>
        <x:v>15551</x:v>
      </x:c>
      <x:c r="O355" s="26" t="n">
        <x:f>N355*(1-M355)</x:f>
        <x:v>15551</x:v>
      </x:c>
      <x:c r="P355" s="26" t="n">
        <x:v>14059</x:v>
      </x:c>
      <x:c r="Q355" s="26" t="n">
        <x:f>K355*P355</x:f>
        <x:v>14059</x:v>
      </x:c>
      <x:c r="R355" s="26" t="n">
        <x:f>O355-Q355</x:f>
        <x:v>1492</x:v>
      </x:c>
      <x:c r="S355" s="28" t="n">
        <x:f>IF(O355=0,0,R355/O355)</x:f>
        <x:v>0.09594238312648705</x:v>
      </x:c>
      <x:c r="T355" s="25" t="str">
        <x:v>Bank Transfer</x:v>
      </x:c>
      <x:c r="U355" s="25" t="str">
        <x:v>Completed</x:v>
      </x:c>
      <x:c r="V355" s="29" t="n">
        <x:v>4</x:v>
      </x:c>
    </x:row>
    <x:row r="356">
      <x:c r="A356" s="23" t="str">
        <x:v>MAN-2025-00355</x:v>
      </x:c>
      <x:c r="B356" s="24" t="n">
        <x:v>45714</x:v>
      </x:c>
      <x:c r="C356" s="25" t="str">
        <x:v>Mansoura</x:v>
      </x:c>
      <x:c r="D356" s="25" t="str">
        <x:v>Sherbin</x:v>
      </x:c>
      <x:c r="E356" s="25" t="str">
        <x:v>Salma Mansour</x:v>
      </x:c>
      <x:c r="F356" s="25" t="str">
        <x:v>Mariam Tarek</x:v>
      </x:c>
      <x:c r="G356" s="25" t="str">
        <x:v>Small Business</x:v>
      </x:c>
      <x:c r="H356" s="25" t="str">
        <x:v>Website</x:v>
      </x:c>
      <x:c r="I356" s="25" t="str">
        <x:v>Electronics</x:v>
      </x:c>
      <x:c r="J356" s="25" t="str">
        <x:v>Smartphone</x:v>
      </x:c>
      <x:c r="K356" s="25" t="n">
        <x:v>1</x:v>
      </x:c>
      <x:c r="L356" s="26" t="n">
        <x:v>12888</x:v>
      </x:c>
      <x:c r="M356" s="27" t="n">
        <x:v>0</x:v>
      </x:c>
      <x:c r="N356" s="26" t="n">
        <x:f>K356*L356</x:f>
        <x:v>12888</x:v>
      </x:c>
      <x:c r="O356" s="26" t="n">
        <x:f>N356*(1-M356)</x:f>
        <x:v>12888</x:v>
      </x:c>
      <x:c r="P356" s="26" t="n">
        <x:v>10900</x:v>
      </x:c>
      <x:c r="Q356" s="26" t="n">
        <x:f>K356*P356</x:f>
        <x:v>10900</x:v>
      </x:c>
      <x:c r="R356" s="26" t="n">
        <x:f>O356-Q356</x:f>
        <x:v>1988</x:v>
      </x:c>
      <x:c r="S356" s="28" t="n">
        <x:f>IF(O356=0,0,R356/O356)</x:f>
        <x:v>0.154252017380509</x:v>
      </x:c>
      <x:c r="T356" s="25" t="str">
        <x:v>Credit Card</x:v>
      </x:c>
      <x:c r="U356" s="25" t="str">
        <x:v>Completed</x:v>
      </x:c>
      <x:c r="V356" s="29" t="n">
        <x:v>4</x:v>
      </x:c>
    </x:row>
    <x:row r="357">
      <x:c r="A357" s="23" t="str">
        <x:v>MAN-2025-00356</x:v>
      </x:c>
      <x:c r="B357" s="24" t="n">
        <x:v>45897</x:v>
      </x:c>
      <x:c r="C357" s="25" t="str">
        <x:v>Mansoura</x:v>
      </x:c>
      <x:c r="D357" s="25" t="str">
        <x:v>Sherbin</x:v>
      </x:c>
      <x:c r="E357" s="25" t="str">
        <x:v>Ali Sayed</x:v>
      </x:c>
      <x:c r="F357" s="25" t="str">
        <x:v>Aya Nasser</x:v>
      </x:c>
      <x:c r="G357" s="25" t="str">
        <x:v>Consumer</x:v>
      </x:c>
      <x:c r="H357" s="25" t="str">
        <x:v>Website</x:v>
      </x:c>
      <x:c r="I357" s="25" t="str">
        <x:v>Electronics</x:v>
      </x:c>
      <x:c r="J357" s="25" t="str">
        <x:v>Laptop</x:v>
      </x:c>
      <x:c r="K357" s="25" t="n">
        <x:v>4</x:v>
      </x:c>
      <x:c r="L357" s="26" t="n">
        <x:v>24626</x:v>
      </x:c>
      <x:c r="M357" s="27" t="n">
        <x:v>0.1</x:v>
      </x:c>
      <x:c r="N357" s="26" t="n">
        <x:f>K357*L357</x:f>
        <x:v>98504</x:v>
      </x:c>
      <x:c r="O357" s="26" t="n">
        <x:f>N357*(1-M357)</x:f>
        <x:v>88653.6</x:v>
      </x:c>
      <x:c r="P357" s="26" t="n">
        <x:v>21102</x:v>
      </x:c>
      <x:c r="Q357" s="26" t="n">
        <x:f>K357*P357</x:f>
        <x:v>84408</x:v>
      </x:c>
      <x:c r="R357" s="26" t="n">
        <x:f>O357-Q357</x:f>
        <x:v>4245.600000000006</x:v>
      </x:c>
      <x:c r="S357" s="28" t="n">
        <x:f>IF(O357=0,0,R357/O357)</x:f>
        <x:v>0.047889764205852954</x:v>
      </x:c>
      <x:c r="T357" s="25" t="str">
        <x:v>Debit Card</x:v>
      </x:c>
      <x:c r="U357" s="25" t="str">
        <x:v>Completed</x:v>
      </x:c>
      <x:c r="V357" s="29" t="n">
        <x:v>4</x:v>
      </x:c>
    </x:row>
    <x:row r="358">
      <x:c r="A358" s="23" t="str">
        <x:v>MAN-2025-00357</x:v>
      </x:c>
      <x:c r="B358" s="24" t="n">
        <x:v>45779</x:v>
      </x:c>
      <x:c r="C358" s="25" t="str">
        <x:v>Mansoura</x:v>
      </x:c>
      <x:c r="D358" s="25" t="str">
        <x:v>Talkha</x:v>
      </x:c>
      <x:c r="E358" s="25" t="str">
        <x:v>Salma Mansour</x:v>
      </x:c>
      <x:c r="F358" s="25" t="str">
        <x:v>Hana Farouk</x:v>
      </x:c>
      <x:c r="G358" s="25" t="str">
        <x:v>Consumer</x:v>
      </x:c>
      <x:c r="H358" s="25" t="str">
        <x:v>Mobile App</x:v>
      </x:c>
      <x:c r="I358" s="25" t="str">
        <x:v>Home Appliances</x:v>
      </x:c>
      <x:c r="J358" s="25" t="str">
        <x:v>Washing Machine</x:v>
      </x:c>
      <x:c r="K358" s="25" t="n">
        <x:v>3</x:v>
      </x:c>
      <x:c r="L358" s="26" t="n">
        <x:v>15241</x:v>
      </x:c>
      <x:c r="M358" s="27" t="n">
        <x:v>0.05</x:v>
      </x:c>
      <x:c r="N358" s="26" t="n">
        <x:f>K358*L358</x:f>
        <x:v>45723</x:v>
      </x:c>
      <x:c r="O358" s="26" t="n">
        <x:f>N358*(1-M358)</x:f>
        <x:v>43436.85</x:v>
      </x:c>
      <x:c r="P358" s="26" t="n">
        <x:v>13960</x:v>
      </x:c>
      <x:c r="Q358" s="26" t="n">
        <x:f>K358*P358</x:f>
        <x:v>41880</x:v>
      </x:c>
      <x:c r="R358" s="26" t="n">
        <x:f>O358-Q358</x:f>
        <x:v>1556.8499999999985</x:v>
      </x:c>
      <x:c r="S358" s="28" t="n">
        <x:f>IF(O358=0,0,R358/O358)</x:f>
        <x:v>0.035841687415178555</x:v>
      </x:c>
      <x:c r="T358" s="25" t="str">
        <x:v>Digital Wallet</x:v>
      </x:c>
      <x:c r="U358" s="25" t="str">
        <x:v>Cancelled</x:v>
      </x:c>
      <x:c r="V358" s="29" t="n">
        <x:v>4</x:v>
      </x:c>
    </x:row>
    <x:row r="359">
      <x:c r="A359" s="23" t="str">
        <x:v>MAN-2025-00358</x:v>
      </x:c>
      <x:c r="B359" s="24" t="n">
        <x:v>45867</x:v>
      </x:c>
      <x:c r="C359" s="25" t="str">
        <x:v>Mansoura</x:v>
      </x:c>
      <x:c r="D359" s="25" t="str">
        <x:v>Aga</x:v>
      </x:c>
      <x:c r="E359" s="25" t="str">
        <x:v>Aya Farouk</x:v>
      </x:c>
      <x:c r="F359" s="25" t="str">
        <x:v>Youssef Farouk</x:v>
      </x:c>
      <x:c r="G359" s="25" t="str">
        <x:v>Corporate</x:v>
      </x:c>
      <x:c r="H359" s="25" t="str">
        <x:v>Retail Store</x:v>
      </x:c>
      <x:c r="I359" s="25" t="str">
        <x:v>Electronics</x:v>
      </x:c>
      <x:c r="J359" s="25" t="str">
        <x:v>Tablet</x:v>
      </x:c>
      <x:c r="K359" s="25" t="n">
        <x:v>2</x:v>
      </x:c>
      <x:c r="L359" s="26" t="n">
        <x:v>8690</x:v>
      </x:c>
      <x:c r="M359" s="27" t="n">
        <x:v>0.05</x:v>
      </x:c>
      <x:c r="N359" s="26" t="n">
        <x:f>K359*L359</x:f>
        <x:v>17380</x:v>
      </x:c>
      <x:c r="O359" s="26" t="n">
        <x:f>N359*(1-M359)</x:f>
        <x:v>16511</x:v>
      </x:c>
      <x:c r="P359" s="26" t="n">
        <x:v>7106</x:v>
      </x:c>
      <x:c r="Q359" s="26" t="n">
        <x:f>K359*P359</x:f>
        <x:v>14212</x:v>
      </x:c>
      <x:c r="R359" s="26" t="n">
        <x:f>O359-Q359</x:f>
        <x:v>2299</x:v>
      </x:c>
      <x:c r="S359" s="28" t="n">
        <x:f>IF(O359=0,0,R359/O359)</x:f>
        <x:v>0.13924050632911392</x:v>
      </x:c>
      <x:c r="T359" s="25" t="str">
        <x:v>Credit Card</x:v>
      </x:c>
      <x:c r="U359" s="25" t="str">
        <x:v>Completed</x:v>
      </x:c>
      <x:c r="V359" s="29" t="n">
        <x:v>4</x:v>
      </x:c>
    </x:row>
    <x:row r="360">
      <x:c r="A360" s="23" t="str">
        <x:v>MAN-2025-00359</x:v>
      </x:c>
      <x:c r="B360" s="24" t="n">
        <x:v>45723</x:v>
      </x:c>
      <x:c r="C360" s="25" t="str">
        <x:v>Mansoura</x:v>
      </x:c>
      <x:c r="D360" s="25" t="str">
        <x:v>Sherbin</x:v>
      </x:c>
      <x:c r="E360" s="25" t="str">
        <x:v>Ali Sayed</x:v>
      </x:c>
      <x:c r="F360" s="25" t="str">
        <x:v>Salma Gamal</x:v>
      </x:c>
      <x:c r="G360" s="25" t="str">
        <x:v>Corporate</x:v>
      </x:c>
      <x:c r="H360" s="25" t="str">
        <x:v>Retail Store</x:v>
      </x:c>
      <x:c r="I360" s="25" t="str">
        <x:v>Home Appliances</x:v>
      </x:c>
      <x:c r="J360" s="25" t="str">
        <x:v>Blender</x:v>
      </x:c>
      <x:c r="K360" s="25" t="n">
        <x:v>4</x:v>
      </x:c>
      <x:c r="L360" s="26" t="n">
        <x:v>1634</x:v>
      </x:c>
      <x:c r="M360" s="27" t="n">
        <x:v>0</x:v>
      </x:c>
      <x:c r="N360" s="26" t="n">
        <x:f>K360*L360</x:f>
        <x:v>6536</x:v>
      </x:c>
      <x:c r="O360" s="26" t="n">
        <x:f>N360*(1-M360)</x:f>
        <x:v>6536</x:v>
      </x:c>
      <x:c r="P360" s="26" t="n">
        <x:v>1239</x:v>
      </x:c>
      <x:c r="Q360" s="26" t="n">
        <x:f>K360*P360</x:f>
        <x:v>4956</x:v>
      </x:c>
      <x:c r="R360" s="26" t="n">
        <x:f>O360-Q360</x:f>
        <x:v>1580</x:v>
      </x:c>
      <x:c r="S360" s="28" t="n">
        <x:f>IF(O360=0,0,R360/O360)</x:f>
        <x:v>0.24173806609547124</x:v>
      </x:c>
      <x:c r="T360" s="25" t="str">
        <x:v>Bank Transfer</x:v>
      </x:c>
      <x:c r="U360" s="25" t="str">
        <x:v>Completed</x:v>
      </x:c>
      <x:c r="V360" s="29" t="n">
        <x:v>3</x:v>
      </x:c>
    </x:row>
    <x:row r="361">
      <x:c r="A361" s="23" t="str">
        <x:v>MAN-2025-00360</x:v>
      </x:c>
      <x:c r="B361" s="24" t="n">
        <x:v>45785</x:v>
      </x:c>
      <x:c r="C361" s="25" t="str">
        <x:v>Mansoura</x:v>
      </x:c>
      <x:c r="D361" s="25" t="str">
        <x:v>Mansoura City</x:v>
      </x:c>
      <x:c r="E361" s="25" t="str">
        <x:v>Salma Mansour</x:v>
      </x:c>
      <x:c r="F361" s="25" t="str">
        <x:v>Hana Ibrahim</x:v>
      </x:c>
      <x:c r="G361" s="25" t="str">
        <x:v>Consumer</x:v>
      </x:c>
      <x:c r="H361" s="25" t="str">
        <x:v>Website</x:v>
      </x:c>
      <x:c r="I361" s="25" t="str">
        <x:v>Electronics</x:v>
      </x:c>
      <x:c r="J361" s="25" t="str">
        <x:v>Smartphone</x:v>
      </x:c>
      <x:c r="K361" s="25" t="n">
        <x:v>2</x:v>
      </x:c>
      <x:c r="L361" s="26" t="n">
        <x:v>13302</x:v>
      </x:c>
      <x:c r="M361" s="27" t="n">
        <x:v>0.05</x:v>
      </x:c>
      <x:c r="N361" s="26" t="n">
        <x:f>K361*L361</x:f>
        <x:v>26604</x:v>
      </x:c>
      <x:c r="O361" s="26" t="n">
        <x:f>N361*(1-M361)</x:f>
        <x:v>25273.8</x:v>
      </x:c>
      <x:c r="P361" s="26" t="n">
        <x:v>11049</x:v>
      </x:c>
      <x:c r="Q361" s="26" t="n">
        <x:f>K361*P361</x:f>
        <x:v>22098</x:v>
      </x:c>
      <x:c r="R361" s="26" t="n">
        <x:f>O361-Q361</x:f>
        <x:v>3175.7999999999993</x:v>
      </x:c>
      <x:c r="S361" s="28" t="n">
        <x:f>IF(O361=0,0,R361/O361)</x:f>
        <x:v>0.12565581748688362</x:v>
      </x:c>
      <x:c r="T361" s="25" t="str">
        <x:v>Credit Card</x:v>
      </x:c>
      <x:c r="U361" s="25" t="str">
        <x:v>Completed</x:v>
      </x:c>
      <x:c r="V361" s="29" t="n">
        <x:v>5</x:v>
      </x:c>
    </x:row>
    <x:row r="362">
      <x:c r="A362" s="23" t="str">
        <x:v>MAN-2025-00361</x:v>
      </x:c>
      <x:c r="B362" s="24" t="n">
        <x:v>45921</x:v>
      </x:c>
      <x:c r="C362" s="25" t="str">
        <x:v>Mansoura</x:v>
      </x:c>
      <x:c r="D362" s="25" t="str">
        <x:v>Aga</x:v>
      </x:c>
      <x:c r="E362" s="25" t="str">
        <x:v>Aya Farouk</x:v>
      </x:c>
      <x:c r="F362" s="25" t="str">
        <x:v>Nour Samir</x:v>
      </x:c>
      <x:c r="G362" s="25" t="str">
        <x:v>Consumer</x:v>
      </x:c>
      <x:c r="H362" s="25" t="str">
        <x:v>Retail Store</x:v>
      </x:c>
      <x:c r="I362" s="25" t="str">
        <x:v>Electronics</x:v>
      </x:c>
      <x:c r="J362" s="25" t="str">
        <x:v>Smartphone</x:v>
      </x:c>
      <x:c r="K362" s="25" t="n">
        <x:v>3</x:v>
      </x:c>
      <x:c r="L362" s="26" t="n">
        <x:v>13346</x:v>
      </x:c>
      <x:c r="M362" s="27" t="n">
        <x:v>0.1</x:v>
      </x:c>
      <x:c r="N362" s="26" t="n">
        <x:f>K362*L362</x:f>
        <x:v>40038</x:v>
      </x:c>
      <x:c r="O362" s="26" t="n">
        <x:f>N362*(1-M362)</x:f>
        <x:v>36034.200000000004</x:v>
      </x:c>
      <x:c r="P362" s="26" t="n">
        <x:v>10524</x:v>
      </x:c>
      <x:c r="Q362" s="26" t="n">
        <x:f>K362*P362</x:f>
        <x:v>31572</x:v>
      </x:c>
      <x:c r="R362" s="26" t="n">
        <x:f>O362-Q362</x:f>
        <x:v>4462.200000000004</x:v>
      </x:c>
      <x:c r="S362" s="28" t="n">
        <x:f>IF(O362=0,0,R362/O362)</x:f>
        <x:v>0.12383235925870434</x:v>
      </x:c>
      <x:c r="T362" s="25" t="str">
        <x:v>Cash</x:v>
      </x:c>
      <x:c r="U362" s="25" t="str">
        <x:v>Completed</x:v>
      </x:c>
      <x:c r="V362" s="29" t="n">
        <x:v>5</x:v>
      </x:c>
    </x:row>
    <x:row r="363">
      <x:c r="A363" s="23" t="str">
        <x:v>MAN-2025-00362</x:v>
      </x:c>
      <x:c r="B363" s="24" t="n">
        <x:v>45760</x:v>
      </x:c>
      <x:c r="C363" s="25" t="str">
        <x:v>Mansoura</x:v>
      </x:c>
      <x:c r="D363" s="25" t="str">
        <x:v>Aga</x:v>
      </x:c>
      <x:c r="E363" s="25" t="str">
        <x:v>Aya Farouk</x:v>
      </x:c>
      <x:c r="F363" s="25" t="str">
        <x:v>Aya Hassan</x:v>
      </x:c>
      <x:c r="G363" s="25" t="str">
        <x:v>Small Business</x:v>
      </x:c>
      <x:c r="H363" s="25" t="str">
        <x:v>Mobile App</x:v>
      </x:c>
      <x:c r="I363" s="25" t="str">
        <x:v>Home Appliances</x:v>
      </x:c>
      <x:c r="J363" s="25" t="str">
        <x:v>Blender</x:v>
      </x:c>
      <x:c r="K363" s="25" t="n">
        <x:v>1</x:v>
      </x:c>
      <x:c r="L363" s="26" t="n">
        <x:v>1782</x:v>
      </x:c>
      <x:c r="M363" s="27" t="n">
        <x:v>0</x:v>
      </x:c>
      <x:c r="N363" s="26" t="n">
        <x:f>K363*L363</x:f>
        <x:v>1782</x:v>
      </x:c>
      <x:c r="O363" s="26" t="n">
        <x:f>N363*(1-M363)</x:f>
        <x:v>1782</x:v>
      </x:c>
      <x:c r="P363" s="26" t="n">
        <x:v>1218</x:v>
      </x:c>
      <x:c r="Q363" s="26" t="n">
        <x:f>K363*P363</x:f>
        <x:v>1218</x:v>
      </x:c>
      <x:c r="R363" s="26" t="n">
        <x:f>O363-Q363</x:f>
        <x:v>564</x:v>
      </x:c>
      <x:c r="S363" s="28" t="n">
        <x:f>IF(O363=0,0,R363/O363)</x:f>
        <x:v>0.3164983164983165</x:v>
      </x:c>
      <x:c r="T363" s="25" t="str">
        <x:v>Credit Card</x:v>
      </x:c>
      <x:c r="U363" s="25" t="str">
        <x:v>Completed</x:v>
      </x:c>
      <x:c r="V363" s="29" t="n">
        <x:v>4</x:v>
      </x:c>
    </x:row>
    <x:row r="364">
      <x:c r="A364" s="23" t="str">
        <x:v>MAN-2025-00363</x:v>
      </x:c>
      <x:c r="B364" s="24" t="n">
        <x:v>45778</x:v>
      </x:c>
      <x:c r="C364" s="25" t="str">
        <x:v>Mansoura</x:v>
      </x:c>
      <x:c r="D364" s="25" t="str">
        <x:v>Sherbin</x:v>
      </x:c>
      <x:c r="E364" s="25" t="str">
        <x:v>Salma Mansour</x:v>
      </x:c>
      <x:c r="F364" s="25" t="str">
        <x:v>Salma Tarek</x:v>
      </x:c>
      <x:c r="G364" s="25" t="str">
        <x:v>Consumer</x:v>
      </x:c>
      <x:c r="H364" s="25" t="str">
        <x:v>Website</x:v>
      </x:c>
      <x:c r="I364" s="25" t="str">
        <x:v>Home Appliances</x:v>
      </x:c>
      <x:c r="J364" s="25" t="str">
        <x:v>Air Conditioner</x:v>
      </x:c>
      <x:c r="K364" s="25" t="n">
        <x:v>5</x:v>
      </x:c>
      <x:c r="L364" s="26" t="n">
        <x:v>19357</x:v>
      </x:c>
      <x:c r="M364" s="27" t="n">
        <x:v>0</x:v>
      </x:c>
      <x:c r="N364" s="26" t="n">
        <x:f>K364*L364</x:f>
        <x:v>96785</x:v>
      </x:c>
      <x:c r="O364" s="26" t="n">
        <x:f>N364*(1-M364)</x:f>
        <x:v>96785</x:v>
      </x:c>
      <x:c r="P364" s="26" t="n">
        <x:v>17607</x:v>
      </x:c>
      <x:c r="Q364" s="26" t="n">
        <x:f>K364*P364</x:f>
        <x:v>88035</x:v>
      </x:c>
      <x:c r="R364" s="26" t="n">
        <x:f>O364-Q364</x:f>
        <x:v>8750</x:v>
      </x:c>
      <x:c r="S364" s="28" t="n">
        <x:f>IF(O364=0,0,R364/O364)</x:f>
        <x:v>0.0904065712662086</x:v>
      </x:c>
      <x:c r="T364" s="25" t="str">
        <x:v>Credit Card</x:v>
      </x:c>
      <x:c r="U364" s="25" t="str">
        <x:v>Completed</x:v>
      </x:c>
      <x:c r="V364" s="29" t="n">
        <x:v>4</x:v>
      </x:c>
    </x:row>
    <x:row r="365">
      <x:c r="A365" s="23" t="str">
        <x:v>MAN-2025-00364</x:v>
      </x:c>
      <x:c r="B365" s="24" t="n">
        <x:v>45874</x:v>
      </x:c>
      <x:c r="C365" s="25" t="str">
        <x:v>Mansoura</x:v>
      </x:c>
      <x:c r="D365" s="25" t="str">
        <x:v>Sherbin</x:v>
      </x:c>
      <x:c r="E365" s="25" t="str">
        <x:v>Aya Farouk</x:v>
      </x:c>
      <x:c r="F365" s="25" t="str">
        <x:v>Salma Sayed</x:v>
      </x:c>
      <x:c r="G365" s="25" t="str">
        <x:v>Corporate</x:v>
      </x:c>
      <x:c r="H365" s="25" t="str">
        <x:v>Website</x:v>
      </x:c>
      <x:c r="I365" s="25" t="str">
        <x:v>Home Appliances</x:v>
      </x:c>
      <x:c r="J365" s="25" t="str">
        <x:v>Blender</x:v>
      </x:c>
      <x:c r="K365" s="25" t="n">
        <x:v>2</x:v>
      </x:c>
      <x:c r="L365" s="26" t="n">
        <x:v>1825</x:v>
      </x:c>
      <x:c r="M365" s="27" t="n">
        <x:v>0.1</x:v>
      </x:c>
      <x:c r="N365" s="26" t="n">
        <x:f>K365*L365</x:f>
        <x:v>3650</x:v>
      </x:c>
      <x:c r="O365" s="26" t="n">
        <x:f>N365*(1-M365)</x:f>
        <x:v>3285</x:v>
      </x:c>
      <x:c r="P365" s="26" t="n">
        <x:v>1252</x:v>
      </x:c>
      <x:c r="Q365" s="26" t="n">
        <x:f>K365*P365</x:f>
        <x:v>2504</x:v>
      </x:c>
      <x:c r="R365" s="26" t="n">
        <x:f>O365-Q365</x:f>
        <x:v>781</x:v>
      </x:c>
      <x:c r="S365" s="28" t="n">
        <x:f>IF(O365=0,0,R365/O365)</x:f>
        <x:v>0.23774733637747336</x:v>
      </x:c>
      <x:c r="T365" s="25" t="str">
        <x:v>Debit Card</x:v>
      </x:c>
      <x:c r="U365" s="25" t="str">
        <x:v>Cancelled</x:v>
      </x:c>
      <x:c r="V365" s="29" t="n">
        <x:v>4</x:v>
      </x:c>
    </x:row>
    <x:row r="366">
      <x:c r="A366" s="23" t="str">
        <x:v>MAN-2025-00365</x:v>
      </x:c>
      <x:c r="B366" s="24" t="n">
        <x:v>45903</x:v>
      </x:c>
      <x:c r="C366" s="25" t="str">
        <x:v>Mansoura</x:v>
      </x:c>
      <x:c r="D366" s="25" t="str">
        <x:v>Talkha</x:v>
      </x:c>
      <x:c r="E366" s="25" t="str">
        <x:v>Ali Sayed</x:v>
      </x:c>
      <x:c r="F366" s="25" t="str">
        <x:v>Amr Tarek</x:v>
      </x:c>
      <x:c r="G366" s="25" t="str">
        <x:v>Corporate</x:v>
      </x:c>
      <x:c r="H366" s="25" t="str">
        <x:v>Phone Order</x:v>
      </x:c>
      <x:c r="I366" s="25" t="str">
        <x:v>Electronics</x:v>
      </x:c>
      <x:c r="J366" s="25" t="str">
        <x:v>Headphones</x:v>
      </x:c>
      <x:c r="K366" s="25" t="n">
        <x:v>5</x:v>
      </x:c>
      <x:c r="L366" s="26" t="n">
        <x:v>1799</x:v>
      </x:c>
      <x:c r="M366" s="27" t="n">
        <x:v>0</x:v>
      </x:c>
      <x:c r="N366" s="26" t="n">
        <x:f>K366*L366</x:f>
        <x:v>8995</x:v>
      </x:c>
      <x:c r="O366" s="26" t="n">
        <x:f>N366*(1-M366)</x:f>
        <x:v>8995</x:v>
      </x:c>
      <x:c r="P366" s="26" t="n">
        <x:v>1096</x:v>
      </x:c>
      <x:c r="Q366" s="26" t="n">
        <x:f>K366*P366</x:f>
        <x:v>5480</x:v>
      </x:c>
      <x:c r="R366" s="26" t="n">
        <x:f>O366-Q366</x:f>
        <x:v>3515</x:v>
      </x:c>
      <x:c r="S366" s="28" t="n">
        <x:f>IF(O366=0,0,R366/O366)</x:f>
        <x:v>0.3907726514730406</x:v>
      </x:c>
      <x:c r="T366" s="25" t="str">
        <x:v>Cash</x:v>
      </x:c>
      <x:c r="U366" s="25" t="str">
        <x:v>Completed</x:v>
      </x:c>
      <x:c r="V366" s="29" t="n">
        <x:v>5</x:v>
      </x:c>
    </x:row>
    <x:row r="367">
      <x:c r="A367" s="23" t="str">
        <x:v>MAN-2025-00366</x:v>
      </x:c>
      <x:c r="B367" s="24" t="n">
        <x:v>45786</x:v>
      </x:c>
      <x:c r="C367" s="25" t="str">
        <x:v>Mansoura</x:v>
      </x:c>
      <x:c r="D367" s="25" t="str">
        <x:v>Sherbin</x:v>
      </x:c>
      <x:c r="E367" s="25" t="str">
        <x:v>Salma Mansour</x:v>
      </x:c>
      <x:c r="F367" s="25" t="str">
        <x:v>Salma Tarek</x:v>
      </x:c>
      <x:c r="G367" s="25" t="str">
        <x:v>Consumer</x:v>
      </x:c>
      <x:c r="H367" s="25" t="str">
        <x:v>Mobile App</x:v>
      </x:c>
      <x:c r="I367" s="25" t="str">
        <x:v>Electronics</x:v>
      </x:c>
      <x:c r="J367" s="25" t="str">
        <x:v>Laptop</x:v>
      </x:c>
      <x:c r="K367" s="25" t="n">
        <x:v>1</x:v>
      </x:c>
      <x:c r="L367" s="26" t="n">
        <x:v>23984</x:v>
      </x:c>
      <x:c r="M367" s="27" t="n">
        <x:v>0.05</x:v>
      </x:c>
      <x:c r="N367" s="26" t="n">
        <x:f>K367*L367</x:f>
        <x:v>23984</x:v>
      </x:c>
      <x:c r="O367" s="26" t="n">
        <x:f>N367*(1-M367)</x:f>
        <x:v>22784.8</x:v>
      </x:c>
      <x:c r="P367" s="26" t="n">
        <x:v>21657</x:v>
      </x:c>
      <x:c r="Q367" s="26" t="n">
        <x:f>K367*P367</x:f>
        <x:v>21657</x:v>
      </x:c>
      <x:c r="R367" s="26" t="n">
        <x:f>O367-Q367</x:f>
        <x:v>1127.7999999999993</x:v>
      </x:c>
      <x:c r="S367" s="28" t="n">
        <x:f>IF(O367=0,0,R367/O367)</x:f>
        <x:v>0.049497910887960364</x:v>
      </x:c>
      <x:c r="T367" s="25" t="str">
        <x:v>Cash</x:v>
      </x:c>
      <x:c r="U367" s="25" t="str">
        <x:v>Completed</x:v>
      </x:c>
      <x:c r="V367" s="29" t="n">
        <x:v>4</x:v>
      </x:c>
    </x:row>
    <x:row r="368">
      <x:c r="A368" s="23" t="str">
        <x:v>MAN-2025-00367</x:v>
      </x:c>
      <x:c r="B368" s="24" t="n">
        <x:v>45959</x:v>
      </x:c>
      <x:c r="C368" s="25" t="str">
        <x:v>Mansoura</x:v>
      </x:c>
      <x:c r="D368" s="25" t="str">
        <x:v>Sherbin</x:v>
      </x:c>
      <x:c r="E368" s="25" t="str">
        <x:v>Youssef Fathy</x:v>
      </x:c>
      <x:c r="F368" s="25" t="str">
        <x:v>Mariam Ibrahim</x:v>
      </x:c>
      <x:c r="G368" s="25" t="str">
        <x:v>Consumer</x:v>
      </x:c>
      <x:c r="H368" s="25" t="str">
        <x:v>Mobile App</x:v>
      </x:c>
      <x:c r="I368" s="25" t="str">
        <x:v>Office Supplies</x:v>
      </x:c>
      <x:c r="J368" s="25" t="str">
        <x:v>Paper Box</x:v>
      </x:c>
      <x:c r="K368" s="25" t="n">
        <x:v>6</x:v>
      </x:c>
      <x:c r="L368" s="26" t="n">
        <x:v>353</x:v>
      </x:c>
      <x:c r="M368" s="27" t="n">
        <x:v>0.15</x:v>
      </x:c>
      <x:c r="N368" s="26" t="n">
        <x:f>K368*L368</x:f>
        <x:v>2118</x:v>
      </x:c>
      <x:c r="O368" s="26" t="n">
        <x:f>N368*(1-M368)</x:f>
        <x:v>1800.3</x:v>
      </x:c>
      <x:c r="P368" s="26" t="n">
        <x:v>266</x:v>
      </x:c>
      <x:c r="Q368" s="26" t="n">
        <x:f>K368*P368</x:f>
        <x:v>1596</x:v>
      </x:c>
      <x:c r="R368" s="26" t="n">
        <x:f>O368-Q368</x:f>
        <x:v>204.29999999999995</x:v>
      </x:c>
      <x:c r="S368" s="28" t="n">
        <x:f>IF(O368=0,0,R368/O368)</x:f>
        <x:v>0.11348108648558572</x:v>
      </x:c>
      <x:c r="T368" s="25" t="str">
        <x:v>Debit Card</x:v>
      </x:c>
      <x:c r="U368" s="25" t="str">
        <x:v>Completed</x:v>
      </x:c>
      <x:c r="V368" s="29" t="n">
        <x:v>3</x:v>
      </x:c>
    </x:row>
    <x:row r="369">
      <x:c r="A369" s="23" t="str">
        <x:v>MAN-2025-00368</x:v>
      </x:c>
      <x:c r="B369" s="24" t="n">
        <x:v>45778</x:v>
      </x:c>
      <x:c r="C369" s="25" t="str">
        <x:v>Mansoura</x:v>
      </x:c>
      <x:c r="D369" s="25" t="str">
        <x:v>Sherbin</x:v>
      </x:c>
      <x:c r="E369" s="25" t="str">
        <x:v>Youssef Fathy</x:v>
      </x:c>
      <x:c r="F369" s="25" t="str">
        <x:v>Mariam Gamal</x:v>
      </x:c>
      <x:c r="G369" s="25" t="str">
        <x:v>Consumer</x:v>
      </x:c>
      <x:c r="H369" s="25" t="str">
        <x:v>Phone Order</x:v>
      </x:c>
      <x:c r="I369" s="25" t="str">
        <x:v>Furniture</x:v>
      </x:c>
      <x:c r="J369" s="25" t="str">
        <x:v>Desk</x:v>
      </x:c>
      <x:c r="K369" s="25" t="n">
        <x:v>2</x:v>
      </x:c>
      <x:c r="L369" s="26" t="n">
        <x:v>4876</x:v>
      </x:c>
      <x:c r="M369" s="27" t="n">
        <x:v>0.1</x:v>
      </x:c>
      <x:c r="N369" s="26" t="n">
        <x:f>K369*L369</x:f>
        <x:v>9752</x:v>
      </x:c>
      <x:c r="O369" s="26" t="n">
        <x:f>N369*(1-M369)</x:f>
        <x:v>8776.800000000001</x:v>
      </x:c>
      <x:c r="P369" s="26" t="n">
        <x:v>3787</x:v>
      </x:c>
      <x:c r="Q369" s="26" t="n">
        <x:f>K369*P369</x:f>
        <x:v>7574</x:v>
      </x:c>
      <x:c r="R369" s="26" t="n">
        <x:f>O369-Q369</x:f>
        <x:v>1202.800000000001</x:v>
      </x:c>
      <x:c r="S369" s="28" t="n">
        <x:f>IF(O369=0,0,R369/O369)</x:f>
        <x:v>0.13704311366329425</x:v>
      </x:c>
      <x:c r="T369" s="25" t="str">
        <x:v>Bank Transfer</x:v>
      </x:c>
      <x:c r="U369" s="25" t="str">
        <x:v>Completed</x:v>
      </x:c>
      <x:c r="V369" s="29" t="n">
        <x:v>5</x:v>
      </x:c>
    </x:row>
    <x:row r="370">
      <x:c r="A370" s="23" t="str">
        <x:v>MAN-2025-00369</x:v>
      </x:c>
      <x:c r="B370" s="24" t="n">
        <x:v>45890</x:v>
      </x:c>
      <x:c r="C370" s="25" t="str">
        <x:v>Mansoura</x:v>
      </x:c>
      <x:c r="D370" s="25" t="str">
        <x:v>Mit Ghamr</x:v>
      </x:c>
      <x:c r="E370" s="25" t="str">
        <x:v>Salma Mansour</x:v>
      </x:c>
      <x:c r="F370" s="25" t="str">
        <x:v>Salma Sayed</x:v>
      </x:c>
      <x:c r="G370" s="25" t="str">
        <x:v>Corporate</x:v>
      </x:c>
      <x:c r="H370" s="25" t="str">
        <x:v>Retail Store</x:v>
      </x:c>
      <x:c r="I370" s="25" t="str">
        <x:v>Office Supplies</x:v>
      </x:c>
      <x:c r="J370" s="25" t="str">
        <x:v>Paper Box</x:v>
      </x:c>
      <x:c r="K370" s="25" t="n">
        <x:v>3</x:v>
      </x:c>
      <x:c r="L370" s="26" t="n">
        <x:v>393</x:v>
      </x:c>
      <x:c r="M370" s="27" t="n">
        <x:v>0.1</x:v>
      </x:c>
      <x:c r="N370" s="26" t="n">
        <x:f>K370*L370</x:f>
        <x:v>1179</x:v>
      </x:c>
      <x:c r="O370" s="26" t="n">
        <x:f>N370*(1-M370)</x:f>
        <x:v>1061.1000000000001</x:v>
      </x:c>
      <x:c r="P370" s="26" t="n">
        <x:v>258</x:v>
      </x:c>
      <x:c r="Q370" s="26" t="n">
        <x:f>K370*P370</x:f>
        <x:v>774</x:v>
      </x:c>
      <x:c r="R370" s="26" t="n">
        <x:f>O370-Q370</x:f>
        <x:v>287.10000000000014</x:v>
      </x:c>
      <x:c r="S370" s="28" t="n">
        <x:f>IF(O370=0,0,R370/O370)</x:f>
        <x:v>0.2705682782018661</x:v>
      </x:c>
      <x:c r="T370" s="25" t="str">
        <x:v>Cash</x:v>
      </x:c>
      <x:c r="U370" s="25" t="str">
        <x:v>Returned</x:v>
      </x:c>
      <x:c r="V370" s="29" t="n">
        <x:v>4</x:v>
      </x:c>
    </x:row>
    <x:row r="371">
      <x:c r="A371" s="23" t="str">
        <x:v>MAN-2025-00370</x:v>
      </x:c>
      <x:c r="B371" s="24" t="n">
        <x:v>45773</x:v>
      </x:c>
      <x:c r="C371" s="25" t="str">
        <x:v>Mansoura</x:v>
      </x:c>
      <x:c r="D371" s="25" t="str">
        <x:v>Mit Ghamr</x:v>
      </x:c>
      <x:c r="E371" s="25" t="str">
        <x:v>Youssef Fathy</x:v>
      </x:c>
      <x:c r="F371" s="25" t="str">
        <x:v>Amr Nasser</x:v>
      </x:c>
      <x:c r="G371" s="25" t="str">
        <x:v>Small Business</x:v>
      </x:c>
      <x:c r="H371" s="25" t="str">
        <x:v>Phone Order</x:v>
      </x:c>
      <x:c r="I371" s="25" t="str">
        <x:v>Office Supplies</x:v>
      </x:c>
      <x:c r="J371" s="25" t="str">
        <x:v>Paper Box</x:v>
      </x:c>
      <x:c r="K371" s="25" t="n">
        <x:v>3</x:v>
      </x:c>
      <x:c r="L371" s="26" t="n">
        <x:v>395</x:v>
      </x:c>
      <x:c r="M371" s="27" t="n">
        <x:v>0</x:v>
      </x:c>
      <x:c r="N371" s="26" t="n">
        <x:f>K371*L371</x:f>
        <x:v>1185</x:v>
      </x:c>
      <x:c r="O371" s="26" t="n">
        <x:f>N371*(1-M371)</x:f>
        <x:v>1185</x:v>
      </x:c>
      <x:c r="P371" s="26" t="n">
        <x:v>257</x:v>
      </x:c>
      <x:c r="Q371" s="26" t="n">
        <x:f>K371*P371</x:f>
        <x:v>771</x:v>
      </x:c>
      <x:c r="R371" s="26" t="n">
        <x:f>O371-Q371</x:f>
        <x:v>414</x:v>
      </x:c>
      <x:c r="S371" s="28" t="n">
        <x:f>IF(O371=0,0,R371/O371)</x:f>
        <x:v>0.3493670886075949</x:v>
      </x:c>
      <x:c r="T371" s="25" t="str">
        <x:v>Bank Transfer</x:v>
      </x:c>
      <x:c r="U371" s="25" t="str">
        <x:v>Completed</x:v>
      </x:c>
      <x:c r="V371" s="29" t="n">
        <x:v>4</x:v>
      </x:c>
    </x:row>
    <x:row r="372">
      <x:c r="A372" s="23" t="str">
        <x:v>MAN-2025-00371</x:v>
      </x:c>
      <x:c r="B372" s="24" t="n">
        <x:v>46018</x:v>
      </x:c>
      <x:c r="C372" s="25" t="str">
        <x:v>Mansoura</x:v>
      </x:c>
      <x:c r="D372" s="25" t="str">
        <x:v>Mit Ghamr</x:v>
      </x:c>
      <x:c r="E372" s="25" t="str">
        <x:v>Ali Sayed</x:v>
      </x:c>
      <x:c r="F372" s="25" t="str">
        <x:v>Hana Khalil</x:v>
      </x:c>
      <x:c r="G372" s="25" t="str">
        <x:v>Consumer</x:v>
      </x:c>
      <x:c r="H372" s="25" t="str">
        <x:v>Website</x:v>
      </x:c>
      <x:c r="I372" s="25" t="str">
        <x:v>Furniture</x:v>
      </x:c>
      <x:c r="J372" s="25" t="str">
        <x:v>Sofa</x:v>
      </x:c>
      <x:c r="K372" s="25" t="n">
        <x:v>3</x:v>
      </x:c>
      <x:c r="L372" s="26" t="n">
        <x:v>12840</x:v>
      </x:c>
      <x:c r="M372" s="27" t="n">
        <x:v>0</x:v>
      </x:c>
      <x:c r="N372" s="26" t="n">
        <x:f>K372*L372</x:f>
        <x:v>38520</x:v>
      </x:c>
      <x:c r="O372" s="26" t="n">
        <x:f>N372*(1-M372)</x:f>
        <x:v>38520</x:v>
      </x:c>
      <x:c r="P372" s="26" t="n">
        <x:v>10940</x:v>
      </x:c>
      <x:c r="Q372" s="26" t="n">
        <x:f>K372*P372</x:f>
        <x:v>32820</x:v>
      </x:c>
      <x:c r="R372" s="26" t="n">
        <x:f>O372-Q372</x:f>
        <x:v>5700</x:v>
      </x:c>
      <x:c r="S372" s="28" t="n">
        <x:f>IF(O372=0,0,R372/O372)</x:f>
        <x:v>0.14797507788161993</x:v>
      </x:c>
      <x:c r="T372" s="25" t="str">
        <x:v>Debit Card</x:v>
      </x:c>
      <x:c r="U372" s="25" t="str">
        <x:v>Completed</x:v>
      </x:c>
      <x:c r="V372" s="29" t="n">
        <x:v>5</x:v>
      </x:c>
    </x:row>
    <x:row r="373">
      <x:c r="A373" s="23" t="str">
        <x:v>MAN-2025-00372</x:v>
      </x:c>
      <x:c r="B373" s="24" t="n">
        <x:v>45853</x:v>
      </x:c>
      <x:c r="C373" s="25" t="str">
        <x:v>Mansoura</x:v>
      </x:c>
      <x:c r="D373" s="25" t="str">
        <x:v>Mansoura City</x:v>
      </x:c>
      <x:c r="E373" s="25" t="str">
        <x:v>Salma Mansour</x:v>
      </x:c>
      <x:c r="F373" s="25" t="str">
        <x:v>Ali Farouk</x:v>
      </x:c>
      <x:c r="G373" s="25" t="str">
        <x:v>Small Business</x:v>
      </x:c>
      <x:c r="H373" s="25" t="str">
        <x:v>Phone Order</x:v>
      </x:c>
      <x:c r="I373" s="25" t="str">
        <x:v>Electronics</x:v>
      </x:c>
      <x:c r="J373" s="25" t="str">
        <x:v>Smartphone</x:v>
      </x:c>
      <x:c r="K373" s="25" t="n">
        <x:v>1</x:v>
      </x:c>
      <x:c r="L373" s="26" t="n">
        <x:v>13286</x:v>
      </x:c>
      <x:c r="M373" s="27" t="n">
        <x:v>0.05</x:v>
      </x:c>
      <x:c r="N373" s="26" t="n">
        <x:f>K373*L373</x:f>
        <x:v>13286</x:v>
      </x:c>
      <x:c r="O373" s="26" t="n">
        <x:f>N373*(1-M373)</x:f>
        <x:v>12621.699999999999</x:v>
      </x:c>
      <x:c r="P373" s="26" t="n">
        <x:v>10583</x:v>
      </x:c>
      <x:c r="Q373" s="26" t="n">
        <x:f>K373*P373</x:f>
        <x:v>10583</x:v>
      </x:c>
      <x:c r="R373" s="26" t="n">
        <x:f>O373-Q373</x:f>
        <x:v>2038.699999999999</x:v>
      </x:c>
      <x:c r="S373" s="28" t="n">
        <x:f>IF(O373=0,0,R373/O373)</x:f>
        <x:v>0.1615234080987505</x:v>
      </x:c>
      <x:c r="T373" s="25" t="str">
        <x:v>Cash</x:v>
      </x:c>
      <x:c r="U373" s="25" t="str">
        <x:v>Completed</x:v>
      </x:c>
      <x:c r="V373" s="29" t="n">
        <x:v>4</x:v>
      </x:c>
    </x:row>
    <x:row r="374">
      <x:c r="A374" s="23" t="str">
        <x:v>MAN-2025-00373</x:v>
      </x:c>
      <x:c r="B374" s="24" t="n">
        <x:v>45710</x:v>
      </x:c>
      <x:c r="C374" s="25" t="str">
        <x:v>Mansoura</x:v>
      </x:c>
      <x:c r="D374" s="25" t="str">
        <x:v>Mansoura City</x:v>
      </x:c>
      <x:c r="E374" s="25" t="str">
        <x:v>Aya Farouk</x:v>
      </x:c>
      <x:c r="F374" s="25" t="str">
        <x:v>Karim Nasser</x:v>
      </x:c>
      <x:c r="G374" s="25" t="str">
        <x:v>Corporate</x:v>
      </x:c>
      <x:c r="H374" s="25" t="str">
        <x:v>Website</x:v>
      </x:c>
      <x:c r="I374" s="25" t="str">
        <x:v>Office Supplies</x:v>
      </x:c>
      <x:c r="J374" s="25" t="str">
        <x:v>Ink Cartridge</x:v>
      </x:c>
      <x:c r="K374" s="25" t="n">
        <x:v>6</x:v>
      </x:c>
      <x:c r="L374" s="26" t="n">
        <x:v>819</x:v>
      </x:c>
      <x:c r="M374" s="27" t="n">
        <x:v>0</x:v>
      </x:c>
      <x:c r="N374" s="26" t="n">
        <x:f>K374*L374</x:f>
        <x:v>4914</x:v>
      </x:c>
      <x:c r="O374" s="26" t="n">
        <x:f>N374*(1-M374)</x:f>
        <x:v>4914</x:v>
      </x:c>
      <x:c r="P374" s="26" t="n">
        <x:v>572</x:v>
      </x:c>
      <x:c r="Q374" s="26" t="n">
        <x:f>K374*P374</x:f>
        <x:v>3432</x:v>
      </x:c>
      <x:c r="R374" s="26" t="n">
        <x:f>O374-Q374</x:f>
        <x:v>1482</x:v>
      </x:c>
      <x:c r="S374" s="28" t="n">
        <x:f>IF(O374=0,0,R374/O374)</x:f>
        <x:v>0.30158730158730157</x:v>
      </x:c>
      <x:c r="T374" s="25" t="str">
        <x:v>Bank Transfer</x:v>
      </x:c>
      <x:c r="U374" s="25" t="str">
        <x:v>Cancelled</x:v>
      </x:c>
      <x:c r="V374" s="29" t="n">
        <x:v>4</x:v>
      </x:c>
    </x:row>
    <x:row r="375">
      <x:c r="A375" s="23" t="str">
        <x:v>MAN-2025-00374</x:v>
      </x:c>
      <x:c r="B375" s="24" t="n">
        <x:v>45781</x:v>
      </x:c>
      <x:c r="C375" s="25" t="str">
        <x:v>Mansoura</x:v>
      </x:c>
      <x:c r="D375" s="25" t="str">
        <x:v>Aga</x:v>
      </x:c>
      <x:c r="E375" s="25" t="str">
        <x:v>Youssef Fathy</x:v>
      </x:c>
      <x:c r="F375" s="25" t="str">
        <x:v>Youssef Nasser</x:v>
      </x:c>
      <x:c r="G375" s="25" t="str">
        <x:v>Consumer</x:v>
      </x:c>
      <x:c r="H375" s="25" t="str">
        <x:v>Retail Store</x:v>
      </x:c>
      <x:c r="I375" s="25" t="str">
        <x:v>Electronics</x:v>
      </x:c>
      <x:c r="J375" s="25" t="str">
        <x:v>Tablet</x:v>
      </x:c>
      <x:c r="K375" s="25" t="n">
        <x:v>2</x:v>
      </x:c>
      <x:c r="L375" s="26" t="n">
        <x:v>9153</x:v>
      </x:c>
      <x:c r="M375" s="27" t="n">
        <x:v>0.05</x:v>
      </x:c>
      <x:c r="N375" s="26" t="n">
        <x:f>K375*L375</x:f>
        <x:v>18306</x:v>
      </x:c>
      <x:c r="O375" s="26" t="n">
        <x:f>N375*(1-M375)</x:f>
        <x:v>17390.7</x:v>
      </x:c>
      <x:c r="P375" s="26" t="n">
        <x:v>7436</x:v>
      </x:c>
      <x:c r="Q375" s="26" t="n">
        <x:f>K375*P375</x:f>
        <x:v>14872</x:v>
      </x:c>
      <x:c r="R375" s="26" t="n">
        <x:f>O375-Q375</x:f>
        <x:v>2518.7000000000007</x:v>
      </x:c>
      <x:c r="S375" s="28" t="n">
        <x:f>IF(O375=0,0,R375/O375)</x:f>
        <x:v>0.14483028285232916</x:v>
      </x:c>
      <x:c r="T375" s="25" t="str">
        <x:v>Bank Transfer</x:v>
      </x:c>
      <x:c r="U375" s="25" t="str">
        <x:v>Cancelled</x:v>
      </x:c>
      <x:c r="V375" s="29" t="n">
        <x:v>5</x:v>
      </x:c>
    </x:row>
    <x:row r="376">
      <x:c r="A376" s="23" t="str">
        <x:v>MAN-2025-00375</x:v>
      </x:c>
      <x:c r="B376" s="24" t="n">
        <x:v>45800</x:v>
      </x:c>
      <x:c r="C376" s="25" t="str">
        <x:v>Mansoura</x:v>
      </x:c>
      <x:c r="D376" s="25" t="str">
        <x:v>Aga</x:v>
      </x:c>
      <x:c r="E376" s="25" t="str">
        <x:v>Youssef Fathy</x:v>
      </x:c>
      <x:c r="F376" s="25" t="str">
        <x:v>Ahmed Fathy</x:v>
      </x:c>
      <x:c r="G376" s="25" t="str">
        <x:v>Small Business</x:v>
      </x:c>
      <x:c r="H376" s="25" t="str">
        <x:v>Retail Store</x:v>
      </x:c>
      <x:c r="I376" s="25" t="str">
        <x:v>Electronics</x:v>
      </x:c>
      <x:c r="J376" s="25" t="str">
        <x:v>Laptop</x:v>
      </x:c>
      <x:c r="K376" s="25" t="n">
        <x:v>2</x:v>
      </x:c>
      <x:c r="L376" s="26" t="n">
        <x:v>24285</x:v>
      </x:c>
      <x:c r="M376" s="27" t="n">
        <x:v>0</x:v>
      </x:c>
      <x:c r="N376" s="26" t="n">
        <x:f>K376*L376</x:f>
        <x:v>48570</x:v>
      </x:c>
      <x:c r="O376" s="26" t="n">
        <x:f>N376*(1-M376)</x:f>
        <x:v>48570</x:v>
      </x:c>
      <x:c r="P376" s="26" t="n">
        <x:v>21869</x:v>
      </x:c>
      <x:c r="Q376" s="26" t="n">
        <x:f>K376*P376</x:f>
        <x:v>43738</x:v>
      </x:c>
      <x:c r="R376" s="26" t="n">
        <x:f>O376-Q376</x:f>
        <x:v>4832</x:v>
      </x:c>
      <x:c r="S376" s="28" t="n">
        <x:f>IF(O376=0,0,R376/O376)</x:f>
        <x:v>0.09948527897879349</x:v>
      </x:c>
      <x:c r="T376" s="25" t="str">
        <x:v>Credit Card</x:v>
      </x:c>
      <x:c r="U376" s="25" t="str">
        <x:v>Returned</x:v>
      </x:c>
      <x:c r="V376" s="29" t="n">
        <x:v>4</x:v>
      </x:c>
    </x:row>
    <x:row r="377">
      <x:c r="A377" s="23" t="str">
        <x:v>MAN-2025-00376</x:v>
      </x:c>
      <x:c r="B377" s="24" t="n">
        <x:v>45911</x:v>
      </x:c>
      <x:c r="C377" s="25" t="str">
        <x:v>Mansoura</x:v>
      </x:c>
      <x:c r="D377" s="25" t="str">
        <x:v>Aga</x:v>
      </x:c>
      <x:c r="E377" s="25" t="str">
        <x:v>Ali Sayed</x:v>
      </x:c>
      <x:c r="F377" s="25" t="str">
        <x:v>Farah Samir</x:v>
      </x:c>
      <x:c r="G377" s="25" t="str">
        <x:v>Small Business</x:v>
      </x:c>
      <x:c r="H377" s="25" t="str">
        <x:v>Retail Store</x:v>
      </x:c>
      <x:c r="I377" s="25" t="str">
        <x:v>Office Supplies</x:v>
      </x:c>
      <x:c r="J377" s="25" t="str">
        <x:v>Ink Cartridge</x:v>
      </x:c>
      <x:c r="K377" s="25" t="n">
        <x:v>3</x:v>
      </x:c>
      <x:c r="L377" s="26" t="n">
        <x:v>858</x:v>
      </x:c>
      <x:c r="M377" s="27" t="n">
        <x:v>0</x:v>
      </x:c>
      <x:c r="N377" s="26" t="n">
        <x:f>K377*L377</x:f>
        <x:v>2574</x:v>
      </x:c>
      <x:c r="O377" s="26" t="n">
        <x:f>N377*(1-M377)</x:f>
        <x:v>2574</x:v>
      </x:c>
      <x:c r="P377" s="26" t="n">
        <x:v>582</x:v>
      </x:c>
      <x:c r="Q377" s="26" t="n">
        <x:f>K377*P377</x:f>
        <x:v>1746</x:v>
      </x:c>
      <x:c r="R377" s="26" t="n">
        <x:f>O377-Q377</x:f>
        <x:v>828</x:v>
      </x:c>
      <x:c r="S377" s="28" t="n">
        <x:f>IF(O377=0,0,R377/O377)</x:f>
        <x:v>0.32167832167832167</x:v>
      </x:c>
      <x:c r="T377" s="25" t="str">
        <x:v>Cash</x:v>
      </x:c>
      <x:c r="U377" s="25" t="str">
        <x:v>Completed</x:v>
      </x:c>
      <x:c r="V377" s="29" t="n">
        <x:v>4</x:v>
      </x:c>
    </x:row>
    <x:row r="378">
      <x:c r="A378" s="23" t="str">
        <x:v>MAN-2025-00377</x:v>
      </x:c>
      <x:c r="B378" s="24" t="n">
        <x:v>45774</x:v>
      </x:c>
      <x:c r="C378" s="25" t="str">
        <x:v>Mansoura</x:v>
      </x:c>
      <x:c r="D378" s="25" t="str">
        <x:v>Talkha</x:v>
      </x:c>
      <x:c r="E378" s="25" t="str">
        <x:v>Ali Sayed</x:v>
      </x:c>
      <x:c r="F378" s="25" t="str">
        <x:v>Salma Farouk</x:v>
      </x:c>
      <x:c r="G378" s="25" t="str">
        <x:v>Consumer</x:v>
      </x:c>
      <x:c r="H378" s="25" t="str">
        <x:v>Website</x:v>
      </x:c>
      <x:c r="I378" s="25" t="str">
        <x:v>Home Appliances</x:v>
      </x:c>
      <x:c r="J378" s="25" t="str">
        <x:v>Microwave</x:v>
      </x:c>
      <x:c r="K378" s="25" t="n">
        <x:v>5</x:v>
      </x:c>
      <x:c r="L378" s="26" t="n">
        <x:v>5769</x:v>
      </x:c>
      <x:c r="M378" s="27" t="n">
        <x:v>0</x:v>
      </x:c>
      <x:c r="N378" s="26" t="n">
        <x:f>K378*L378</x:f>
        <x:v>28845</x:v>
      </x:c>
      <x:c r="O378" s="26" t="n">
        <x:f>N378*(1-M378)</x:f>
        <x:v>28845</x:v>
      </x:c>
      <x:c r="P378" s="26" t="n">
        <x:v>4425</x:v>
      </x:c>
      <x:c r="Q378" s="26" t="n">
        <x:f>K378*P378</x:f>
        <x:v>22125</x:v>
      </x:c>
      <x:c r="R378" s="26" t="n">
        <x:f>O378-Q378</x:f>
        <x:v>6720</x:v>
      </x:c>
      <x:c r="S378" s="28" t="n">
        <x:f>IF(O378=0,0,R378/O378)</x:f>
        <x:v>0.2329693187727509</x:v>
      </x:c>
      <x:c r="T378" s="25" t="str">
        <x:v>Debit Card</x:v>
      </x:c>
      <x:c r="U378" s="25" t="str">
        <x:v>Completed</x:v>
      </x:c>
      <x:c r="V378" s="29" t="n">
        <x:v>5</x:v>
      </x:c>
    </x:row>
    <x:row r="379">
      <x:c r="A379" s="23" t="str">
        <x:v>MAN-2025-00378</x:v>
      </x:c>
      <x:c r="B379" s="24" t="n">
        <x:v>45726</x:v>
      </x:c>
      <x:c r="C379" s="25" t="str">
        <x:v>Mansoura</x:v>
      </x:c>
      <x:c r="D379" s="25" t="str">
        <x:v>Sherbin</x:v>
      </x:c>
      <x:c r="E379" s="25" t="str">
        <x:v>Salma Mansour</x:v>
      </x:c>
      <x:c r="F379" s="25" t="str">
        <x:v>Mahmoud Hassan</x:v>
      </x:c>
      <x:c r="G379" s="25" t="str">
        <x:v>Small Business</x:v>
      </x:c>
      <x:c r="H379" s="25" t="str">
        <x:v>Retail Store</x:v>
      </x:c>
      <x:c r="I379" s="25" t="str">
        <x:v>Furniture</x:v>
      </x:c>
      <x:c r="J379" s="25" t="str">
        <x:v>Office Chair</x:v>
      </x:c>
      <x:c r="K379" s="25" t="n">
        <x:v>4</x:v>
      </x:c>
      <x:c r="L379" s="26" t="n">
        <x:v>3680</x:v>
      </x:c>
      <x:c r="M379" s="27" t="n">
        <x:v>0.1</x:v>
      </x:c>
      <x:c r="N379" s="26" t="n">
        <x:f>K379*L379</x:f>
        <x:v>14720</x:v>
      </x:c>
      <x:c r="O379" s="26" t="n">
        <x:f>N379*(1-M379)</x:f>
        <x:v>13248</x:v>
      </x:c>
      <x:c r="P379" s="26" t="n">
        <x:v>2800</x:v>
      </x:c>
      <x:c r="Q379" s="26" t="n">
        <x:f>K379*P379</x:f>
        <x:v>11200</x:v>
      </x:c>
      <x:c r="R379" s="26" t="n">
        <x:f>O379-Q379</x:f>
        <x:v>2048</x:v>
      </x:c>
      <x:c r="S379" s="28" t="n">
        <x:f>IF(O379=0,0,R379/O379)</x:f>
        <x:v>0.15458937198067632</x:v>
      </x:c>
      <x:c r="T379" s="25" t="str">
        <x:v>Credit Card</x:v>
      </x:c>
      <x:c r="U379" s="25" t="str">
        <x:v>Completed</x:v>
      </x:c>
      <x:c r="V379" s="29" t="n">
        <x:v>4</x:v>
      </x:c>
    </x:row>
    <x:row r="380">
      <x:c r="A380" s="23" t="str">
        <x:v>MAN-2025-00379</x:v>
      </x:c>
      <x:c r="B380" s="24" t="n">
        <x:v>45903</x:v>
      </x:c>
      <x:c r="C380" s="25" t="str">
        <x:v>Mansoura</x:v>
      </x:c>
      <x:c r="D380" s="25" t="str">
        <x:v>Mansoura City</x:v>
      </x:c>
      <x:c r="E380" s="25" t="str">
        <x:v>Ali Sayed</x:v>
      </x:c>
      <x:c r="F380" s="25" t="str">
        <x:v>Ahmed Nasser</x:v>
      </x:c>
      <x:c r="G380" s="25" t="str">
        <x:v>Small Business</x:v>
      </x:c>
      <x:c r="H380" s="25" t="str">
        <x:v>Mobile App</x:v>
      </x:c>
      <x:c r="I380" s="25" t="str">
        <x:v>Office Supplies</x:v>
      </x:c>
      <x:c r="J380" s="25" t="str">
        <x:v>Paper Box</x:v>
      </x:c>
      <x:c r="K380" s="25" t="n">
        <x:v>5</x:v>
      </x:c>
      <x:c r="L380" s="26" t="n">
        <x:v>397</x:v>
      </x:c>
      <x:c r="M380" s="27" t="n">
        <x:v>0.15</x:v>
      </x:c>
      <x:c r="N380" s="26" t="n">
        <x:f>K380*L380</x:f>
        <x:v>1985</x:v>
      </x:c>
      <x:c r="O380" s="26" t="n">
        <x:f>N380*(1-M380)</x:f>
        <x:v>1687.25</x:v>
      </x:c>
      <x:c r="P380" s="26" t="n">
        <x:v>266</x:v>
      </x:c>
      <x:c r="Q380" s="26" t="n">
        <x:f>K380*P380</x:f>
        <x:v>1330</x:v>
      </x:c>
      <x:c r="R380" s="26" t="n">
        <x:f>O380-Q380</x:f>
        <x:v>357.25</x:v>
      </x:c>
      <x:c r="S380" s="28" t="n">
        <x:f>IF(O380=0,0,R380/O380)</x:f>
        <x:v>0.21173507186249815</x:v>
      </x:c>
      <x:c r="T380" s="25" t="str">
        <x:v>Digital Wallet</x:v>
      </x:c>
      <x:c r="U380" s="25" t="str">
        <x:v>Completed</x:v>
      </x:c>
      <x:c r="V380" s="29" t="n">
        <x:v>4</x:v>
      </x:c>
    </x:row>
    <x:row r="381">
      <x:c r="A381" s="23" t="str">
        <x:v>MAN-2025-00380</x:v>
      </x:c>
      <x:c r="B381" s="24" t="n">
        <x:v>46018</x:v>
      </x:c>
      <x:c r="C381" s="25" t="str">
        <x:v>Mansoura</x:v>
      </x:c>
      <x:c r="D381" s="25" t="str">
        <x:v>Mit Ghamr</x:v>
      </x:c>
      <x:c r="E381" s="25" t="str">
        <x:v>Ali Sayed</x:v>
      </x:c>
      <x:c r="F381" s="25" t="str">
        <x:v>Nour Hassan</x:v>
      </x:c>
      <x:c r="G381" s="25" t="str">
        <x:v>Corporate</x:v>
      </x:c>
      <x:c r="H381" s="25" t="str">
        <x:v>Phone Order</x:v>
      </x:c>
      <x:c r="I381" s="25" t="str">
        <x:v>Electronics</x:v>
      </x:c>
      <x:c r="J381" s="25" t="str">
        <x:v>Headphones</x:v>
      </x:c>
      <x:c r="K381" s="25" t="n">
        <x:v>1</x:v>
      </x:c>
      <x:c r="L381" s="26" t="n">
        <x:v>1675</x:v>
      </x:c>
      <x:c r="M381" s="27" t="n">
        <x:v>0.1</x:v>
      </x:c>
      <x:c r="N381" s="26" t="n">
        <x:f>K381*L381</x:f>
        <x:v>1675</x:v>
      </x:c>
      <x:c r="O381" s="26" t="n">
        <x:f>N381*(1-M381)</x:f>
        <x:v>1507.5</x:v>
      </x:c>
      <x:c r="P381" s="26" t="n">
        <x:v>1131</x:v>
      </x:c>
      <x:c r="Q381" s="26" t="n">
        <x:f>K381*P381</x:f>
        <x:v>1131</x:v>
      </x:c>
      <x:c r="R381" s="26" t="n">
        <x:f>O381-Q381</x:f>
        <x:v>376.5</x:v>
      </x:c>
      <x:c r="S381" s="28" t="n">
        <x:f>IF(O381=0,0,R381/O381)</x:f>
        <x:v>0.24975124378109453</x:v>
      </x:c>
      <x:c r="T381" s="25" t="str">
        <x:v>Digital Wallet</x:v>
      </x:c>
      <x:c r="U381" s="25" t="str">
        <x:v>Completed</x:v>
      </x:c>
      <x:c r="V381" s="29" t="n">
        <x:v>5</x:v>
      </x:c>
    </x:row>
    <x:row r="382">
      <x:c r="A382" s="23" t="str">
        <x:v>MAN-2025-00381</x:v>
      </x:c>
      <x:c r="B382" s="24" t="n">
        <x:v>45925</x:v>
      </x:c>
      <x:c r="C382" s="25" t="str">
        <x:v>Mansoura</x:v>
      </x:c>
      <x:c r="D382" s="25" t="str">
        <x:v>Aga</x:v>
      </x:c>
      <x:c r="E382" s="25" t="str">
        <x:v>Youssef Fathy</x:v>
      </x:c>
      <x:c r="F382" s="25" t="str">
        <x:v>Salma Gamal</x:v>
      </x:c>
      <x:c r="G382" s="25" t="str">
        <x:v>Consumer</x:v>
      </x:c>
      <x:c r="H382" s="25" t="str">
        <x:v>Website</x:v>
      </x:c>
      <x:c r="I382" s="25" t="str">
        <x:v>Furniture</x:v>
      </x:c>
      <x:c r="J382" s="25" t="str">
        <x:v>Sofa</x:v>
      </x:c>
      <x:c r="K382" s="25" t="n">
        <x:v>2</x:v>
      </x:c>
      <x:c r="L382" s="26" t="n">
        <x:v>13878</x:v>
      </x:c>
      <x:c r="M382" s="27" t="n">
        <x:v>0</x:v>
      </x:c>
      <x:c r="N382" s="26" t="n">
        <x:f>K382*L382</x:f>
        <x:v>27756</x:v>
      </x:c>
      <x:c r="O382" s="26" t="n">
        <x:f>N382*(1-M382)</x:f>
        <x:v>27756</x:v>
      </x:c>
      <x:c r="P382" s="26" t="n">
        <x:v>11180</x:v>
      </x:c>
      <x:c r="Q382" s="26" t="n">
        <x:f>K382*P382</x:f>
        <x:v>22360</x:v>
      </x:c>
      <x:c r="R382" s="26" t="n">
        <x:f>O382-Q382</x:f>
        <x:v>5396</x:v>
      </x:c>
      <x:c r="S382" s="28" t="n">
        <x:f>IF(O382=0,0,R382/O382)</x:f>
        <x:v>0.19440841619829946</x:v>
      </x:c>
      <x:c r="T382" s="25" t="str">
        <x:v>Debit Card</x:v>
      </x:c>
      <x:c r="U382" s="25" t="str">
        <x:v>Completed</x:v>
      </x:c>
      <x:c r="V382" s="29" t="n">
        <x:v>5</x:v>
      </x:c>
    </x:row>
    <x:row r="383">
      <x:c r="A383" s="23" t="str">
        <x:v>MAN-2025-00382</x:v>
      </x:c>
      <x:c r="B383" s="24" t="n">
        <x:v>45784</x:v>
      </x:c>
      <x:c r="C383" s="25" t="str">
        <x:v>Mansoura</x:v>
      </x:c>
      <x:c r="D383" s="25" t="str">
        <x:v>Mit Ghamr</x:v>
      </x:c>
      <x:c r="E383" s="25" t="str">
        <x:v>Salma Mansour</x:v>
      </x:c>
      <x:c r="F383" s="25" t="str">
        <x:v>Mostafa Ibrahim</x:v>
      </x:c>
      <x:c r="G383" s="25" t="str">
        <x:v>Corporate</x:v>
      </x:c>
      <x:c r="H383" s="25" t="str">
        <x:v>Retail Store</x:v>
      </x:c>
      <x:c r="I383" s="25" t="str">
        <x:v>Office Supplies</x:v>
      </x:c>
      <x:c r="J383" s="25" t="str">
        <x:v>Paper Box</x:v>
      </x:c>
      <x:c r="K383" s="25" t="n">
        <x:v>3</x:v>
      </x:c>
      <x:c r="L383" s="26" t="n">
        <x:v>351</x:v>
      </x:c>
      <x:c r="M383" s="27" t="n">
        <x:v>0.05</x:v>
      </x:c>
      <x:c r="N383" s="26" t="n">
        <x:f>K383*L383</x:f>
        <x:v>1053</x:v>
      </x:c>
      <x:c r="O383" s="26" t="n">
        <x:f>N383*(1-M383)</x:f>
        <x:v>1000.3499999999999</x:v>
      </x:c>
      <x:c r="P383" s="26" t="n">
        <x:v>269</x:v>
      </x:c>
      <x:c r="Q383" s="26" t="n">
        <x:f>K383*P383</x:f>
        <x:v>807</x:v>
      </x:c>
      <x:c r="R383" s="26" t="n">
        <x:f>O383-Q383</x:f>
        <x:v>193.3499999999999</x:v>
      </x:c>
      <x:c r="S383" s="28" t="n">
        <x:f>IF(O383=0,0,R383/O383)</x:f>
        <x:v>0.19328235117708795</x:v>
      </x:c>
      <x:c r="T383" s="25" t="str">
        <x:v>Debit Card</x:v>
      </x:c>
      <x:c r="U383" s="25" t="str">
        <x:v>Completed</x:v>
      </x:c>
      <x:c r="V383" s="29" t="n">
        <x:v>3</x:v>
      </x:c>
    </x:row>
    <x:row r="384">
      <x:c r="A384" s="23" t="str">
        <x:v>MAN-2025-00383</x:v>
      </x:c>
      <x:c r="B384" s="24" t="n">
        <x:v>45904</x:v>
      </x:c>
      <x:c r="C384" s="25" t="str">
        <x:v>Mansoura</x:v>
      </x:c>
      <x:c r="D384" s="25" t="str">
        <x:v>Mit Ghamr</x:v>
      </x:c>
      <x:c r="E384" s="25" t="str">
        <x:v>Aya Farouk</x:v>
      </x:c>
      <x:c r="F384" s="25" t="str">
        <x:v>Farah Nasser</x:v>
      </x:c>
      <x:c r="G384" s="25" t="str">
        <x:v>Small Business</x:v>
      </x:c>
      <x:c r="H384" s="25" t="str">
        <x:v>Retail Store</x:v>
      </x:c>
      <x:c r="I384" s="25" t="str">
        <x:v>Home Appliances</x:v>
      </x:c>
      <x:c r="J384" s="25" t="str">
        <x:v>Washing Machine</x:v>
      </x:c>
      <x:c r="K384" s="25" t="n">
        <x:v>2</x:v>
      </x:c>
      <x:c r="L384" s="26" t="n">
        <x:v>17275</x:v>
      </x:c>
      <x:c r="M384" s="27" t="n">
        <x:v>0.05</x:v>
      </x:c>
      <x:c r="N384" s="26" t="n">
        <x:f>K384*L384</x:f>
        <x:v>34550</x:v>
      </x:c>
      <x:c r="O384" s="26" t="n">
        <x:f>N384*(1-M384)</x:f>
        <x:v>32822.5</x:v>
      </x:c>
      <x:c r="P384" s="26" t="n">
        <x:v>13908</x:v>
      </x:c>
      <x:c r="Q384" s="26" t="n">
        <x:f>K384*P384</x:f>
        <x:v>27816</x:v>
      </x:c>
      <x:c r="R384" s="26" t="n">
        <x:f>O384-Q384</x:f>
        <x:v>5006.5</x:v>
      </x:c>
      <x:c r="S384" s="28" t="n">
        <x:f>IF(O384=0,0,R384/O384)</x:f>
        <x:v>0.1525325615050651</x:v>
      </x:c>
      <x:c r="T384" s="25" t="str">
        <x:v>Bank Transfer</x:v>
      </x:c>
      <x:c r="U384" s="25" t="str">
        <x:v>Returned</x:v>
      </x:c>
      <x:c r="V384" s="29" t="n">
        <x:v>5</x:v>
      </x:c>
    </x:row>
    <x:row r="385">
      <x:c r="A385" s="23" t="str">
        <x:v>MAN-2025-00384</x:v>
      </x:c>
      <x:c r="B385" s="24" t="n">
        <x:v>45893</x:v>
      </x:c>
      <x:c r="C385" s="25" t="str">
        <x:v>Mansoura</x:v>
      </x:c>
      <x:c r="D385" s="25" t="str">
        <x:v>Mit Ghamr</x:v>
      </x:c>
      <x:c r="E385" s="25" t="str">
        <x:v>Youssef Fathy</x:v>
      </x:c>
      <x:c r="F385" s="25" t="str">
        <x:v>Mostafa Sayed</x:v>
      </x:c>
      <x:c r="G385" s="25" t="str">
        <x:v>Consumer</x:v>
      </x:c>
      <x:c r="H385" s="25" t="str">
        <x:v>Retail Store</x:v>
      </x:c>
      <x:c r="I385" s="25" t="str">
        <x:v>Home Appliances</x:v>
      </x:c>
      <x:c r="J385" s="25" t="str">
        <x:v>Microwave</x:v>
      </x:c>
      <x:c r="K385" s="25" t="n">
        <x:v>4</x:v>
      </x:c>
      <x:c r="L385" s="26" t="n">
        <x:v>5776</x:v>
      </x:c>
      <x:c r="M385" s="27" t="n">
        <x:v>0</x:v>
      </x:c>
      <x:c r="N385" s="26" t="n">
        <x:f>K385*L385</x:f>
        <x:v>23104</x:v>
      </x:c>
      <x:c r="O385" s="26" t="n">
        <x:f>N385*(1-M385)</x:f>
        <x:v>23104</x:v>
      </x:c>
      <x:c r="P385" s="26" t="n">
        <x:v>4495</x:v>
      </x:c>
      <x:c r="Q385" s="26" t="n">
        <x:f>K385*P385</x:f>
        <x:v>17980</x:v>
      </x:c>
      <x:c r="R385" s="26" t="n">
        <x:f>O385-Q385</x:f>
        <x:v>5124</x:v>
      </x:c>
      <x:c r="S385" s="28" t="n">
        <x:f>IF(O385=0,0,R385/O385)</x:f>
        <x:v>0.2217797783933518</x:v>
      </x:c>
      <x:c r="T385" s="25" t="str">
        <x:v>Bank Transfer</x:v>
      </x:c>
      <x:c r="U385" s="25" t="str">
        <x:v>Completed</x:v>
      </x:c>
      <x:c r="V385" s="29" t="n">
        <x:v>4</x:v>
      </x:c>
    </x:row>
    <x:row r="386">
      <x:c r="A386" s="23" t="str">
        <x:v>MAN-2025-00385</x:v>
      </x:c>
      <x:c r="B386" s="24" t="n">
        <x:v>45792</x:v>
      </x:c>
      <x:c r="C386" s="25" t="str">
        <x:v>Mansoura</x:v>
      </x:c>
      <x:c r="D386" s="25" t="str">
        <x:v>Sherbin</x:v>
      </x:c>
      <x:c r="E386" s="25" t="str">
        <x:v>Aya Farouk</x:v>
      </x:c>
      <x:c r="F386" s="25" t="str">
        <x:v>Youssef Khalil</x:v>
      </x:c>
      <x:c r="G386" s="25" t="str">
        <x:v>Consumer</x:v>
      </x:c>
      <x:c r="H386" s="25" t="str">
        <x:v>Phone Order</x:v>
      </x:c>
      <x:c r="I386" s="25" t="str">
        <x:v>Furniture</x:v>
      </x:c>
      <x:c r="J386" s="25" t="str">
        <x:v>Office Chair</x:v>
      </x:c>
      <x:c r="K386" s="25" t="n">
        <x:v>1</x:v>
      </x:c>
      <x:c r="L386" s="26" t="n">
        <x:v>3791</x:v>
      </x:c>
      <x:c r="M386" s="27" t="n">
        <x:v>0.05</x:v>
      </x:c>
      <x:c r="N386" s="26" t="n">
        <x:f>K386*L386</x:f>
        <x:v>3791</x:v>
      </x:c>
      <x:c r="O386" s="26" t="n">
        <x:f>N386*(1-M386)</x:f>
        <x:v>3601.45</x:v>
      </x:c>
      <x:c r="P386" s="26" t="n">
        <x:v>2803</x:v>
      </x:c>
      <x:c r="Q386" s="26" t="n">
        <x:f>K386*P386</x:f>
        <x:v>2803</x:v>
      </x:c>
      <x:c r="R386" s="26" t="n">
        <x:f>O386-Q386</x:f>
        <x:v>798.4499999999998</x:v>
      </x:c>
      <x:c r="S386" s="28" t="n">
        <x:f>IF(O386=0,0,R386/O386)</x:f>
        <x:v>0.22170236987879877</x:v>
      </x:c>
      <x:c r="T386" s="25" t="str">
        <x:v>Digital Wallet</x:v>
      </x:c>
      <x:c r="U386" s="25" t="str">
        <x:v>Completed</x:v>
      </x:c>
      <x:c r="V386" s="29" t="n">
        <x:v>5</x:v>
      </x:c>
    </x:row>
    <x:row r="387">
      <x:c r="A387" s="23" t="str">
        <x:v>MAN-2025-00386</x:v>
      </x:c>
      <x:c r="B387" s="24" t="n">
        <x:v>45763</x:v>
      </x:c>
      <x:c r="C387" s="25" t="str">
        <x:v>Mansoura</x:v>
      </x:c>
      <x:c r="D387" s="25" t="str">
        <x:v>Mansoura City</x:v>
      </x:c>
      <x:c r="E387" s="25" t="str">
        <x:v>Aya Farouk</x:v>
      </x:c>
      <x:c r="F387" s="25" t="str">
        <x:v>Mariam Nasser</x:v>
      </x:c>
      <x:c r="G387" s="25" t="str">
        <x:v>Consumer</x:v>
      </x:c>
      <x:c r="H387" s="25" t="str">
        <x:v>Website</x:v>
      </x:c>
      <x:c r="I387" s="25" t="str">
        <x:v>Furniture</x:v>
      </x:c>
      <x:c r="J387" s="25" t="str">
        <x:v>Office Chair</x:v>
      </x:c>
      <x:c r="K387" s="25" t="n">
        <x:v>6</x:v>
      </x:c>
      <x:c r="L387" s="26" t="n">
        <x:v>3703</x:v>
      </x:c>
      <x:c r="M387" s="27" t="n">
        <x:v>0</x:v>
      </x:c>
      <x:c r="N387" s="26" t="n">
        <x:f>K387*L387</x:f>
        <x:v>22218</x:v>
      </x:c>
      <x:c r="O387" s="26" t="n">
        <x:f>N387*(1-M387)</x:f>
        <x:v>22218</x:v>
      </x:c>
      <x:c r="P387" s="26" t="n">
        <x:v>2814</x:v>
      </x:c>
      <x:c r="Q387" s="26" t="n">
        <x:f>K387*P387</x:f>
        <x:v>16884</x:v>
      </x:c>
      <x:c r="R387" s="26" t="n">
        <x:f>O387-Q387</x:f>
        <x:v>5334</x:v>
      </x:c>
      <x:c r="S387" s="28" t="n">
        <x:f>IF(O387=0,0,R387/O387)</x:f>
        <x:v>0.24007561436672967</x:v>
      </x:c>
      <x:c r="T387" s="25" t="str">
        <x:v>Credit Card</x:v>
      </x:c>
      <x:c r="U387" s="25" t="str">
        <x:v>Completed</x:v>
      </x:c>
      <x:c r="V387" s="29" t="n">
        <x:v>4</x:v>
      </x:c>
    </x:row>
    <x:row r="388">
      <x:c r="A388" s="23" t="str">
        <x:v>MAN-2025-00387</x:v>
      </x:c>
      <x:c r="B388" s="24" t="n">
        <x:v>45958</x:v>
      </x:c>
      <x:c r="C388" s="25" t="str">
        <x:v>Mansoura</x:v>
      </x:c>
      <x:c r="D388" s="25" t="str">
        <x:v>Mit Ghamr</x:v>
      </x:c>
      <x:c r="E388" s="25" t="str">
        <x:v>Youssef Fathy</x:v>
      </x:c>
      <x:c r="F388" s="25" t="str">
        <x:v>Hana Samir</x:v>
      </x:c>
      <x:c r="G388" s="25" t="str">
        <x:v>Corporate</x:v>
      </x:c>
      <x:c r="H388" s="25" t="str">
        <x:v>Phone Order</x:v>
      </x:c>
      <x:c r="I388" s="25" t="str">
        <x:v>Furniture</x:v>
      </x:c>
      <x:c r="J388" s="25" t="str">
        <x:v>Office Chair</x:v>
      </x:c>
      <x:c r="K388" s="25" t="n">
        <x:v>4</x:v>
      </x:c>
      <x:c r="L388" s="26" t="n">
        <x:v>4081</x:v>
      </x:c>
      <x:c r="M388" s="27" t="n">
        <x:v>0</x:v>
      </x:c>
      <x:c r="N388" s="26" t="n">
        <x:f>K388*L388</x:f>
        <x:v>16324</x:v>
      </x:c>
      <x:c r="O388" s="26" t="n">
        <x:f>N388*(1-M388)</x:f>
        <x:v>16324</x:v>
      </x:c>
      <x:c r="P388" s="26" t="n">
        <x:v>2890</x:v>
      </x:c>
      <x:c r="Q388" s="26" t="n">
        <x:f>K388*P388</x:f>
        <x:v>11560</x:v>
      </x:c>
      <x:c r="R388" s="26" t="n">
        <x:f>O388-Q388</x:f>
        <x:v>4764</x:v>
      </x:c>
      <x:c r="S388" s="28" t="n">
        <x:f>IF(O388=0,0,R388/O388)</x:f>
        <x:v>0.29184023523646163</x:v>
      </x:c>
      <x:c r="T388" s="25" t="str">
        <x:v>Credit Card</x:v>
      </x:c>
      <x:c r="U388" s="25" t="str">
        <x:v>Completed</x:v>
      </x:c>
      <x:c r="V388" s="29" t="n">
        <x:v>3</x:v>
      </x:c>
    </x:row>
    <x:row r="389">
      <x:c r="A389" s="23" t="str">
        <x:v>MAN-2025-00388</x:v>
      </x:c>
      <x:c r="B389" s="24" t="n">
        <x:v>45665</x:v>
      </x:c>
      <x:c r="C389" s="25" t="str">
        <x:v>Mansoura</x:v>
      </x:c>
      <x:c r="D389" s="25" t="str">
        <x:v>Mansoura City</x:v>
      </x:c>
      <x:c r="E389" s="25" t="str">
        <x:v>Ali Sayed</x:v>
      </x:c>
      <x:c r="F389" s="25" t="str">
        <x:v>Farah Khalil</x:v>
      </x:c>
      <x:c r="G389" s="25" t="str">
        <x:v>Corporate</x:v>
      </x:c>
      <x:c r="H389" s="25" t="str">
        <x:v>Retail Store</x:v>
      </x:c>
      <x:c r="I389" s="25" t="str">
        <x:v>Office Supplies</x:v>
      </x:c>
      <x:c r="J389" s="25" t="str">
        <x:v>Printer</x:v>
      </x:c>
      <x:c r="K389" s="25" t="n">
        <x:v>5</x:v>
      </x:c>
      <x:c r="L389" s="26" t="n">
        <x:v>6247</x:v>
      </x:c>
      <x:c r="M389" s="27" t="n">
        <x:v>0</x:v>
      </x:c>
      <x:c r="N389" s="26" t="n">
        <x:f>K389*L389</x:f>
        <x:v>31235</x:v>
      </x:c>
      <x:c r="O389" s="26" t="n">
        <x:f>N389*(1-M389)</x:f>
        <x:v>31235</x:v>
      </x:c>
      <x:c r="P389" s="26" t="n">
        <x:v>5276</x:v>
      </x:c>
      <x:c r="Q389" s="26" t="n">
        <x:f>K389*P389</x:f>
        <x:v>26380</x:v>
      </x:c>
      <x:c r="R389" s="26" t="n">
        <x:f>O389-Q389</x:f>
        <x:v>4855</x:v>
      </x:c>
      <x:c r="S389" s="28" t="n">
        <x:f>IF(O389=0,0,R389/O389)</x:f>
        <x:v>0.15543460861213382</x:v>
      </x:c>
      <x:c r="T389" s="25" t="str">
        <x:v>Bank Transfer</x:v>
      </x:c>
      <x:c r="U389" s="25" t="str">
        <x:v>Completed</x:v>
      </x:c>
      <x:c r="V389" s="29" t="n">
        <x:v>5</x:v>
      </x:c>
    </x:row>
    <x:row r="390">
      <x:c r="A390" s="23" t="str">
        <x:v>MAN-2025-00389</x:v>
      </x:c>
      <x:c r="B390" s="24" t="n">
        <x:v>45935</x:v>
      </x:c>
      <x:c r="C390" s="25" t="str">
        <x:v>Mansoura</x:v>
      </x:c>
      <x:c r="D390" s="25" t="str">
        <x:v>Mit Ghamr</x:v>
      </x:c>
      <x:c r="E390" s="25" t="str">
        <x:v>Salma Mansour</x:v>
      </x:c>
      <x:c r="F390" s="25" t="str">
        <x:v>Mahmoud Sayed</x:v>
      </x:c>
      <x:c r="G390" s="25" t="str">
        <x:v>Small Business</x:v>
      </x:c>
      <x:c r="H390" s="25" t="str">
        <x:v>Mobile App</x:v>
      </x:c>
      <x:c r="I390" s="25" t="str">
        <x:v>Furniture</x:v>
      </x:c>
      <x:c r="J390" s="25" t="str">
        <x:v>Office Chair</x:v>
      </x:c>
      <x:c r="K390" s="25" t="n">
        <x:v>3</x:v>
      </x:c>
      <x:c r="L390" s="26" t="n">
        <x:v>4064</x:v>
      </x:c>
      <x:c r="M390" s="27" t="n">
        <x:v>0</x:v>
      </x:c>
      <x:c r="N390" s="26" t="n">
        <x:f>K390*L390</x:f>
        <x:v>12192</x:v>
      </x:c>
      <x:c r="O390" s="26" t="n">
        <x:f>N390*(1-M390)</x:f>
        <x:v>12192</x:v>
      </x:c>
      <x:c r="P390" s="26" t="n">
        <x:v>2894</x:v>
      </x:c>
      <x:c r="Q390" s="26" t="n">
        <x:f>K390*P390</x:f>
        <x:v>8682</x:v>
      </x:c>
      <x:c r="R390" s="26" t="n">
        <x:f>O390-Q390</x:f>
        <x:v>3510</x:v>
      </x:c>
      <x:c r="S390" s="28" t="n">
        <x:f>IF(O390=0,0,R390/O390)</x:f>
        <x:v>0.28789370078740156</x:v>
      </x:c>
      <x:c r="T390" s="25" t="str">
        <x:v>Debit Card</x:v>
      </x:c>
      <x:c r="U390" s="25" t="str">
        <x:v>Completed</x:v>
      </x:c>
      <x:c r="V390" s="29" t="n">
        <x:v>4</x:v>
      </x:c>
    </x:row>
    <x:row r="391">
      <x:c r="A391" s="23" t="str">
        <x:v>MAN-2025-00390</x:v>
      </x:c>
      <x:c r="B391" s="24" t="n">
        <x:v>45705</x:v>
      </x:c>
      <x:c r="C391" s="25" t="str">
        <x:v>Mansoura</x:v>
      </x:c>
      <x:c r="D391" s="25" t="str">
        <x:v>Talkha</x:v>
      </x:c>
      <x:c r="E391" s="25" t="str">
        <x:v>Salma Mansour</x:v>
      </x:c>
      <x:c r="F391" s="25" t="str">
        <x:v>Karim Tarek</x:v>
      </x:c>
      <x:c r="G391" s="25" t="str">
        <x:v>Small Business</x:v>
      </x:c>
      <x:c r="H391" s="25" t="str">
        <x:v>Phone Order</x:v>
      </x:c>
      <x:c r="I391" s="25" t="str">
        <x:v>Furniture</x:v>
      </x:c>
      <x:c r="J391" s="25" t="str">
        <x:v>Sofa</x:v>
      </x:c>
      <x:c r="K391" s="25" t="n">
        <x:v>2</x:v>
      </x:c>
      <x:c r="L391" s="26" t="n">
        <x:v>12734</x:v>
      </x:c>
      <x:c r="M391" s="27" t="n">
        <x:v>0.05</x:v>
      </x:c>
      <x:c r="N391" s="26" t="n">
        <x:f>K391*L391</x:f>
        <x:v>25468</x:v>
      </x:c>
      <x:c r="O391" s="26" t="n">
        <x:f>N391*(1-M391)</x:f>
        <x:v>24194.6</x:v>
      </x:c>
      <x:c r="P391" s="26" t="n">
        <x:v>10655</x:v>
      </x:c>
      <x:c r="Q391" s="26" t="n">
        <x:f>K391*P391</x:f>
        <x:v>21310</x:v>
      </x:c>
      <x:c r="R391" s="26" t="n">
        <x:f>O391-Q391</x:f>
        <x:v>2884.5999999999985</x:v>
      </x:c>
      <x:c r="S391" s="28" t="n">
        <x:f>IF(O391=0,0,R391/O391)</x:f>
        <x:v>0.11922495102212885</x:v>
      </x:c>
      <x:c r="T391" s="25" t="str">
        <x:v>Cash</x:v>
      </x:c>
      <x:c r="U391" s="25" t="str">
        <x:v>Returned</x:v>
      </x:c>
      <x:c r="V391" s="29" t="n">
        <x:v>5</x:v>
      </x:c>
    </x:row>
    <x:row r="392">
      <x:c r="A392" s="23" t="str">
        <x:v>MAN-2025-00391</x:v>
      </x:c>
      <x:c r="B392" s="24" t="n">
        <x:v>45997</x:v>
      </x:c>
      <x:c r="C392" s="25" t="str">
        <x:v>Mansoura</x:v>
      </x:c>
      <x:c r="D392" s="25" t="str">
        <x:v>Sherbin</x:v>
      </x:c>
      <x:c r="E392" s="25" t="str">
        <x:v>Salma Mansour</x:v>
      </x:c>
      <x:c r="F392" s="25" t="str">
        <x:v>Ahmed Fathy</x:v>
      </x:c>
      <x:c r="G392" s="25" t="str">
        <x:v>Consumer</x:v>
      </x:c>
      <x:c r="H392" s="25" t="str">
        <x:v>Retail Store</x:v>
      </x:c>
      <x:c r="I392" s="25" t="str">
        <x:v>Electronics</x:v>
      </x:c>
      <x:c r="J392" s="25" t="str">
        <x:v>Smartphone</x:v>
      </x:c>
      <x:c r="K392" s="25" t="n">
        <x:v>3</x:v>
      </x:c>
      <x:c r="L392" s="26" t="n">
        <x:v>12688</x:v>
      </x:c>
      <x:c r="M392" s="27" t="n">
        <x:v>0</x:v>
      </x:c>
      <x:c r="N392" s="26" t="n">
        <x:f>K392*L392</x:f>
        <x:v>38064</x:v>
      </x:c>
      <x:c r="O392" s="26" t="n">
        <x:f>N392*(1-M392)</x:f>
        <x:v>38064</x:v>
      </x:c>
      <x:c r="P392" s="26" t="n">
        <x:v>10494</x:v>
      </x:c>
      <x:c r="Q392" s="26" t="n">
        <x:f>K392*P392</x:f>
        <x:v>31482</x:v>
      </x:c>
      <x:c r="R392" s="26" t="n">
        <x:f>O392-Q392</x:f>
        <x:v>6582</x:v>
      </x:c>
      <x:c r="S392" s="28" t="n">
        <x:f>IF(O392=0,0,R392/O392)</x:f>
        <x:v>0.17291929382093316</x:v>
      </x:c>
      <x:c r="T392" s="25" t="str">
        <x:v>Cash</x:v>
      </x:c>
      <x:c r="U392" s="25" t="str">
        <x:v>Completed</x:v>
      </x:c>
      <x:c r="V392" s="29" t="n">
        <x:v>4</x:v>
      </x:c>
    </x:row>
    <x:row r="393">
      <x:c r="A393" s="23" t="str">
        <x:v>MAN-2025-00392</x:v>
      </x:c>
      <x:c r="B393" s="24" t="n">
        <x:v>45748</x:v>
      </x:c>
      <x:c r="C393" s="25" t="str">
        <x:v>Mansoura</x:v>
      </x:c>
      <x:c r="D393" s="25" t="str">
        <x:v>Mansoura City</x:v>
      </x:c>
      <x:c r="E393" s="25" t="str">
        <x:v>Salma Mansour</x:v>
      </x:c>
      <x:c r="F393" s="25" t="str">
        <x:v>Mohamed Nasser</x:v>
      </x:c>
      <x:c r="G393" s="25" t="str">
        <x:v>Consumer</x:v>
      </x:c>
      <x:c r="H393" s="25" t="str">
        <x:v>Retail Store</x:v>
      </x:c>
      <x:c r="I393" s="25" t="str">
        <x:v>Office Supplies</x:v>
      </x:c>
      <x:c r="J393" s="25" t="str">
        <x:v>Paper Box</x:v>
      </x:c>
      <x:c r="K393" s="25" t="n">
        <x:v>6</x:v>
      </x:c>
      <x:c r="L393" s="26" t="n">
        <x:v>399</x:v>
      </x:c>
      <x:c r="M393" s="27" t="n">
        <x:v>0.15</x:v>
      </x:c>
      <x:c r="N393" s="26" t="n">
        <x:f>K393*L393</x:f>
        <x:v>2394</x:v>
      </x:c>
      <x:c r="O393" s="26" t="n">
        <x:f>N393*(1-M393)</x:f>
        <x:v>2034.8999999999999</x:v>
      </x:c>
      <x:c r="P393" s="26" t="n">
        <x:v>263</x:v>
      </x:c>
      <x:c r="Q393" s="26" t="n">
        <x:f>K393*P393</x:f>
        <x:v>1578</x:v>
      </x:c>
      <x:c r="R393" s="26" t="n">
        <x:f>O393-Q393</x:f>
        <x:v>456.89999999999986</x:v>
      </x:c>
      <x:c r="S393" s="28" t="n">
        <x:f>IF(O393=0,0,R393/O393)</x:f>
        <x:v>0.22453191803036998</x:v>
      </x:c>
      <x:c r="T393" s="25" t="str">
        <x:v>Digital Wallet</x:v>
      </x:c>
      <x:c r="U393" s="25" t="str">
        <x:v>Completed</x:v>
      </x:c>
      <x:c r="V393" s="29" t="n">
        <x:v>4</x:v>
      </x:c>
    </x:row>
    <x:row r="394">
      <x:c r="A394" s="23" t="str">
        <x:v>MAN-2025-00393</x:v>
      </x:c>
      <x:c r="B394" s="24" t="n">
        <x:v>45892</x:v>
      </x:c>
      <x:c r="C394" s="25" t="str">
        <x:v>Mansoura</x:v>
      </x:c>
      <x:c r="D394" s="25" t="str">
        <x:v>Mansoura City</x:v>
      </x:c>
      <x:c r="E394" s="25" t="str">
        <x:v>Aya Farouk</x:v>
      </x:c>
      <x:c r="F394" s="25" t="str">
        <x:v>Sara Farouk</x:v>
      </x:c>
      <x:c r="G394" s="25" t="str">
        <x:v>Consumer</x:v>
      </x:c>
      <x:c r="H394" s="25" t="str">
        <x:v>Retail Store</x:v>
      </x:c>
      <x:c r="I394" s="25" t="str">
        <x:v>Electronics</x:v>
      </x:c>
      <x:c r="J394" s="25" t="str">
        <x:v>Headphones</x:v>
      </x:c>
      <x:c r="K394" s="25" t="n">
        <x:v>5</x:v>
      </x:c>
      <x:c r="L394" s="26" t="n">
        <x:v>1770</x:v>
      </x:c>
      <x:c r="M394" s="27" t="n">
        <x:v>0.15</x:v>
      </x:c>
      <x:c r="N394" s="26" t="n">
        <x:f>K394*L394</x:f>
        <x:v>8850</x:v>
      </x:c>
      <x:c r="O394" s="26" t="n">
        <x:f>N394*(1-M394)</x:f>
        <x:v>7522.5</x:v>
      </x:c>
      <x:c r="P394" s="26" t="n">
        <x:v>1125</x:v>
      </x:c>
      <x:c r="Q394" s="26" t="n">
        <x:f>K394*P394</x:f>
        <x:v>5625</x:v>
      </x:c>
      <x:c r="R394" s="26" t="n">
        <x:f>O394-Q394</x:f>
        <x:v>1897.5</x:v>
      </x:c>
      <x:c r="S394" s="28" t="n">
        <x:f>IF(O394=0,0,R394/O394)</x:f>
        <x:v>0.2522432701894317</x:v>
      </x:c>
      <x:c r="T394" s="25" t="str">
        <x:v>Debit Card</x:v>
      </x:c>
      <x:c r="U394" s="25" t="str">
        <x:v>Cancelled</x:v>
      </x:c>
      <x:c r="V394" s="29" t="n">
        <x:v>4</x:v>
      </x:c>
    </x:row>
    <x:row r="395">
      <x:c r="A395" s="23" t="str">
        <x:v>MAN-2025-00394</x:v>
      </x:c>
      <x:c r="B395" s="24" t="n">
        <x:v>45715</x:v>
      </x:c>
      <x:c r="C395" s="25" t="str">
        <x:v>Mansoura</x:v>
      </x:c>
      <x:c r="D395" s="25" t="str">
        <x:v>Mit Ghamr</x:v>
      </x:c>
      <x:c r="E395" s="25" t="str">
        <x:v>Ali Sayed</x:v>
      </x:c>
      <x:c r="F395" s="25" t="str">
        <x:v>Karim Tarek</x:v>
      </x:c>
      <x:c r="G395" s="25" t="str">
        <x:v>Corporate</x:v>
      </x:c>
      <x:c r="H395" s="25" t="str">
        <x:v>Retail Store</x:v>
      </x:c>
      <x:c r="I395" s="25" t="str">
        <x:v>Office Supplies</x:v>
      </x:c>
      <x:c r="J395" s="25" t="str">
        <x:v>Ink Cartridge</x:v>
      </x:c>
      <x:c r="K395" s="25" t="n">
        <x:v>4</x:v>
      </x:c>
      <x:c r="L395" s="26" t="n">
        <x:v>860</x:v>
      </x:c>
      <x:c r="M395" s="27" t="n">
        <x:v>0</x:v>
      </x:c>
      <x:c r="N395" s="26" t="n">
        <x:f>K395*L395</x:f>
        <x:v>3440</x:v>
      </x:c>
      <x:c r="O395" s="26" t="n">
        <x:f>N395*(1-M395)</x:f>
        <x:v>3440</x:v>
      </x:c>
      <x:c r="P395" s="26" t="n">
        <x:v>578</x:v>
      </x:c>
      <x:c r="Q395" s="26" t="n">
        <x:f>K395*P395</x:f>
        <x:v>2312</x:v>
      </x:c>
      <x:c r="R395" s="26" t="n">
        <x:f>O395-Q395</x:f>
        <x:v>1128</x:v>
      </x:c>
      <x:c r="S395" s="28" t="n">
        <x:f>IF(O395=0,0,R395/O395)</x:f>
        <x:v>0.32790697674418606</x:v>
      </x:c>
      <x:c r="T395" s="25" t="str">
        <x:v>Cash</x:v>
      </x:c>
      <x:c r="U395" s="25" t="str">
        <x:v>Completed</x:v>
      </x:c>
      <x:c r="V395" s="29" t="n">
        <x:v>4</x:v>
      </x:c>
    </x:row>
    <x:row r="396">
      <x:c r="A396" s="23" t="str">
        <x:v>MAN-2025-00395</x:v>
      </x:c>
      <x:c r="B396" s="24" t="n">
        <x:v>45963</x:v>
      </x:c>
      <x:c r="C396" s="25" t="str">
        <x:v>Mansoura</x:v>
      </x:c>
      <x:c r="D396" s="25" t="str">
        <x:v>Mansoura City</x:v>
      </x:c>
      <x:c r="E396" s="25" t="str">
        <x:v>Salma Mansour</x:v>
      </x:c>
      <x:c r="F396" s="25" t="str">
        <x:v>Mohamed Samir</x:v>
      </x:c>
      <x:c r="G396" s="25" t="str">
        <x:v>Consumer</x:v>
      </x:c>
      <x:c r="H396" s="25" t="str">
        <x:v>Retail Store</x:v>
      </x:c>
      <x:c r="I396" s="25" t="str">
        <x:v>Furniture</x:v>
      </x:c>
      <x:c r="J396" s="25" t="str">
        <x:v>Bookshelf</x:v>
      </x:c>
      <x:c r="K396" s="25" t="n">
        <x:v>3</x:v>
      </x:c>
      <x:c r="L396" s="26" t="n">
        <x:v>2850</x:v>
      </x:c>
      <x:c r="M396" s="27" t="n">
        <x:v>0</x:v>
      </x:c>
      <x:c r="N396" s="26" t="n">
        <x:f>K396*L396</x:f>
        <x:v>8550</x:v>
      </x:c>
      <x:c r="O396" s="26" t="n">
        <x:f>N396*(1-M396)</x:f>
        <x:v>8550</x:v>
      </x:c>
      <x:c r="P396" s="26" t="n">
        <x:v>2198</x:v>
      </x:c>
      <x:c r="Q396" s="26" t="n">
        <x:f>K396*P396</x:f>
        <x:v>6594</x:v>
      </x:c>
      <x:c r="R396" s="26" t="n">
        <x:f>O396-Q396</x:f>
        <x:v>1956</x:v>
      </x:c>
      <x:c r="S396" s="28" t="n">
        <x:f>IF(O396=0,0,R396/O396)</x:f>
        <x:v>0.2287719298245614</x:v>
      </x:c>
      <x:c r="T396" s="25" t="str">
        <x:v>Digital Wallet</x:v>
      </x:c>
      <x:c r="U396" s="25" t="str">
        <x:v>Cancelled</x:v>
      </x:c>
      <x:c r="V396" s="29" t="n">
        <x:v>4</x:v>
      </x:c>
    </x:row>
    <x:row r="397">
      <x:c r="A397" s="23" t="str">
        <x:v>MAN-2025-00396</x:v>
      </x:c>
      <x:c r="B397" s="24" t="n">
        <x:v>45886</x:v>
      </x:c>
      <x:c r="C397" s="25" t="str">
        <x:v>Mansoura</x:v>
      </x:c>
      <x:c r="D397" s="25" t="str">
        <x:v>Sherbin</x:v>
      </x:c>
      <x:c r="E397" s="25" t="str">
        <x:v>Youssef Fathy</x:v>
      </x:c>
      <x:c r="F397" s="25" t="str">
        <x:v>Youssef Tarek</x:v>
      </x:c>
      <x:c r="G397" s="25" t="str">
        <x:v>Consumer</x:v>
      </x:c>
      <x:c r="H397" s="25" t="str">
        <x:v>Mobile App</x:v>
      </x:c>
      <x:c r="I397" s="25" t="str">
        <x:v>Office Supplies</x:v>
      </x:c>
      <x:c r="J397" s="25" t="str">
        <x:v>Calculator</x:v>
      </x:c>
      <x:c r="K397" s="25" t="n">
        <x:v>1</x:v>
      </x:c>
      <x:c r="L397" s="26" t="n">
        <x:v>459</x:v>
      </x:c>
      <x:c r="M397" s="27" t="n">
        <x:v>0.05</x:v>
      </x:c>
      <x:c r="N397" s="26" t="n">
        <x:f>K397*L397</x:f>
        <x:v>459</x:v>
      </x:c>
      <x:c r="O397" s="26" t="n">
        <x:f>N397*(1-M397)</x:f>
        <x:v>436.04999999999995</x:v>
      </x:c>
      <x:c r="P397" s="26" t="n">
        <x:v>281</x:v>
      </x:c>
      <x:c r="Q397" s="26" t="n">
        <x:f>K397*P397</x:f>
        <x:v>281</x:v>
      </x:c>
      <x:c r="R397" s="26" t="n">
        <x:f>O397-Q397</x:f>
        <x:v>155.04999999999995</x:v>
      </x:c>
      <x:c r="S397" s="28" t="n">
        <x:f>IF(O397=0,0,R397/O397)</x:f>
        <x:v>0.35557848870542363</x:v>
      </x:c>
      <x:c r="T397" s="25" t="str">
        <x:v>Debit Card</x:v>
      </x:c>
      <x:c r="U397" s="25" t="str">
        <x:v>Completed</x:v>
      </x:c>
      <x:c r="V397" s="29" t="n">
        <x:v>4</x:v>
      </x:c>
    </x:row>
    <x:row r="398">
      <x:c r="A398" s="23" t="str">
        <x:v>MAN-2025-00397</x:v>
      </x:c>
      <x:c r="B398" s="24" t="n">
        <x:v>45864</x:v>
      </x:c>
      <x:c r="C398" s="25" t="str">
        <x:v>Mansoura</x:v>
      </x:c>
      <x:c r="D398" s="25" t="str">
        <x:v>Mansoura City</x:v>
      </x:c>
      <x:c r="E398" s="25" t="str">
        <x:v>Salma Mansour</x:v>
      </x:c>
      <x:c r="F398" s="25" t="str">
        <x:v>Mahmoud Ibrahim</x:v>
      </x:c>
      <x:c r="G398" s="25" t="str">
        <x:v>Consumer</x:v>
      </x:c>
      <x:c r="H398" s="25" t="str">
        <x:v>Retail Store</x:v>
      </x:c>
      <x:c r="I398" s="25" t="str">
        <x:v>Furniture</x:v>
      </x:c>
      <x:c r="J398" s="25" t="str">
        <x:v>Desk</x:v>
      </x:c>
      <x:c r="K398" s="25" t="n">
        <x:v>3</x:v>
      </x:c>
      <x:c r="L398" s="26" t="n">
        <x:v>4908</x:v>
      </x:c>
      <x:c r="M398" s="27" t="n">
        <x:v>0.1</x:v>
      </x:c>
      <x:c r="N398" s="26" t="n">
        <x:f>K398*L398</x:f>
        <x:v>14724</x:v>
      </x:c>
      <x:c r="O398" s="26" t="n">
        <x:f>N398*(1-M398)</x:f>
        <x:v>13251.6</x:v>
      </x:c>
      <x:c r="P398" s="26" t="n">
        <x:v>3818</x:v>
      </x:c>
      <x:c r="Q398" s="26" t="n">
        <x:f>K398*P398</x:f>
        <x:v>11454</x:v>
      </x:c>
      <x:c r="R398" s="26" t="n">
        <x:f>O398-Q398</x:f>
        <x:v>1797.6000000000004</x:v>
      </x:c>
      <x:c r="S398" s="28" t="n">
        <x:f>IF(O398=0,0,R398/O398)</x:f>
        <x:v>0.13565154396450244</x:v>
      </x:c>
      <x:c r="T398" s="25" t="str">
        <x:v>Credit Card</x:v>
      </x:c>
      <x:c r="U398" s="25" t="str">
        <x:v>Completed</x:v>
      </x:c>
      <x:c r="V398" s="29" t="n">
        <x:v>5</x:v>
      </x:c>
    </x:row>
    <x:row r="399">
      <x:c r="A399" s="23" t="str">
        <x:v>MAN-2025-00398</x:v>
      </x:c>
      <x:c r="B399" s="24" t="n">
        <x:v>46001</x:v>
      </x:c>
      <x:c r="C399" s="25" t="str">
        <x:v>Mansoura</x:v>
      </x:c>
      <x:c r="D399" s="25" t="str">
        <x:v>Sherbin</x:v>
      </x:c>
      <x:c r="E399" s="25" t="str">
        <x:v>Youssef Fathy</x:v>
      </x:c>
      <x:c r="F399" s="25" t="str">
        <x:v>Aya Ibrahim</x:v>
      </x:c>
      <x:c r="G399" s="25" t="str">
        <x:v>Consumer</x:v>
      </x:c>
      <x:c r="H399" s="25" t="str">
        <x:v>Website</x:v>
      </x:c>
      <x:c r="I399" s="25" t="str">
        <x:v>Furniture</x:v>
      </x:c>
      <x:c r="J399" s="25" t="str">
        <x:v>Bookshelf</x:v>
      </x:c>
      <x:c r="K399" s="25" t="n">
        <x:v>1</x:v>
      </x:c>
      <x:c r="L399" s="26" t="n">
        <x:v>3060</x:v>
      </x:c>
      <x:c r="M399" s="27" t="n">
        <x:v>0</x:v>
      </x:c>
      <x:c r="N399" s="26" t="n">
        <x:f>K399*L399</x:f>
        <x:v>3060</x:v>
      </x:c>
      <x:c r="O399" s="26" t="n">
        <x:f>N399*(1-M399)</x:f>
        <x:v>3060</x:v>
      </x:c>
      <x:c r="P399" s="26" t="n">
        <x:v>2281</x:v>
      </x:c>
      <x:c r="Q399" s="26" t="n">
        <x:f>K399*P399</x:f>
        <x:v>2281</x:v>
      </x:c>
      <x:c r="R399" s="26" t="n">
        <x:f>O399-Q399</x:f>
        <x:v>779</x:v>
      </x:c>
      <x:c r="S399" s="28" t="n">
        <x:f>IF(O399=0,0,R399/O399)</x:f>
        <x:v>0.2545751633986928</x:v>
      </x:c>
      <x:c r="T399" s="25" t="str">
        <x:v>Digital Wallet</x:v>
      </x:c>
      <x:c r="U399" s="25" t="str">
        <x:v>Completed</x:v>
      </x:c>
      <x:c r="V399" s="29" t="n">
        <x:v>4</x:v>
      </x:c>
    </x:row>
    <x:row r="400">
      <x:c r="A400" s="23" t="str">
        <x:v>MAN-2025-00399</x:v>
      </x:c>
      <x:c r="B400" s="24" t="n">
        <x:v>45869</x:v>
      </x:c>
      <x:c r="C400" s="25" t="str">
        <x:v>Mansoura</x:v>
      </x:c>
      <x:c r="D400" s="25" t="str">
        <x:v>Mit Ghamr</x:v>
      </x:c>
      <x:c r="E400" s="25" t="str">
        <x:v>Ali Sayed</x:v>
      </x:c>
      <x:c r="F400" s="25" t="str">
        <x:v>Mostafa Khalil</x:v>
      </x:c>
      <x:c r="G400" s="25" t="str">
        <x:v>Consumer</x:v>
      </x:c>
      <x:c r="H400" s="25" t="str">
        <x:v>Mobile App</x:v>
      </x:c>
      <x:c r="I400" s="25" t="str">
        <x:v>Home Appliances</x:v>
      </x:c>
      <x:c r="J400" s="25" t="str">
        <x:v>Washing Machine</x:v>
      </x:c>
      <x:c r="K400" s="25" t="n">
        <x:v>1</x:v>
      </x:c>
      <x:c r="L400" s="26" t="n">
        <x:v>16852</x:v>
      </x:c>
      <x:c r="M400" s="27" t="n">
        <x:v>0.15</x:v>
      </x:c>
      <x:c r="N400" s="26" t="n">
        <x:f>K400*L400</x:f>
        <x:v>16852</x:v>
      </x:c>
      <x:c r="O400" s="26" t="n">
        <x:f>N400*(1-M400)</x:f>
        <x:v>14324.199999999999</x:v>
      </x:c>
      <x:c r="P400" s="26" t="n">
        <x:v>13719</x:v>
      </x:c>
      <x:c r="Q400" s="26" t="n">
        <x:f>K400*P400</x:f>
        <x:v>13719</x:v>
      </x:c>
      <x:c r="R400" s="26" t="n">
        <x:f>O400-Q400</x:f>
        <x:v>605.1999999999989</x:v>
      </x:c>
      <x:c r="S400" s="28" t="n">
        <x:f>IF(O400=0,0,R400/O400)</x:f>
        <x:v>0.042250178020412935</x:v>
      </x:c>
      <x:c r="T400" s="25" t="str">
        <x:v>Digital Wallet</x:v>
      </x:c>
      <x:c r="U400" s="25" t="str">
        <x:v>Completed</x:v>
      </x:c>
      <x:c r="V400" s="29" t="n">
        <x:v>5</x:v>
      </x:c>
    </x:row>
    <x:row r="401">
      <x:c r="A401" s="23" t="str">
        <x:v>MAN-2025-00400</x:v>
      </x:c>
      <x:c r="B401" s="24" t="n">
        <x:v>45674</x:v>
      </x:c>
      <x:c r="C401" s="25" t="str">
        <x:v>Mansoura</x:v>
      </x:c>
      <x:c r="D401" s="25" t="str">
        <x:v>Mit Ghamr</x:v>
      </x:c>
      <x:c r="E401" s="25" t="str">
        <x:v>Youssef Fathy</x:v>
      </x:c>
      <x:c r="F401" s="25" t="str">
        <x:v>Salma Farouk</x:v>
      </x:c>
      <x:c r="G401" s="25" t="str">
        <x:v>Consumer</x:v>
      </x:c>
      <x:c r="H401" s="25" t="str">
        <x:v>Website</x:v>
      </x:c>
      <x:c r="I401" s="25" t="str">
        <x:v>Home Appliances</x:v>
      </x:c>
      <x:c r="J401" s="25" t="str">
        <x:v>Air Conditioner</x:v>
      </x:c>
      <x:c r="K401" s="25" t="n">
        <x:v>4</x:v>
      </x:c>
      <x:c r="L401" s="26" t="n">
        <x:v>20769</x:v>
      </x:c>
      <x:c r="M401" s="27" t="n">
        <x:v>0</x:v>
      </x:c>
      <x:c r="N401" s="26" t="n">
        <x:f>K401*L401</x:f>
        <x:v>83076</x:v>
      </x:c>
      <x:c r="O401" s="26" t="n">
        <x:f>N401*(1-M401)</x:f>
        <x:v>83076</x:v>
      </x:c>
      <x:c r="P401" s="26" t="n">
        <x:v>17724</x:v>
      </x:c>
      <x:c r="Q401" s="26" t="n">
        <x:f>K401*P401</x:f>
        <x:v>70896</x:v>
      </x:c>
      <x:c r="R401" s="26" t="n">
        <x:f>O401-Q401</x:f>
        <x:v>12180</x:v>
      </x:c>
      <x:c r="S401" s="28" t="n">
        <x:f>IF(O401=0,0,R401/O401)</x:f>
        <x:v>0.14661274014155712</x:v>
      </x:c>
      <x:c r="T401" s="25" t="str">
        <x:v>Cash</x:v>
      </x:c>
      <x:c r="U401" s="25" t="str">
        <x:v>Completed</x:v>
      </x:c>
      <x:c r="V401" s="29" t="n">
        <x:v>5</x:v>
      </x:c>
    </x:row>
    <x:row r="402">
      <x:c r="A402" s="23" t="str">
        <x:v>MAN-2025-00401</x:v>
      </x:c>
      <x:c r="B402" s="24" t="n">
        <x:v>45796</x:v>
      </x:c>
      <x:c r="C402" s="25" t="str">
        <x:v>Mansoura</x:v>
      </x:c>
      <x:c r="D402" s="25" t="str">
        <x:v>Mansoura City</x:v>
      </x:c>
      <x:c r="E402" s="25" t="str">
        <x:v>Aya Farouk</x:v>
      </x:c>
      <x:c r="F402" s="25" t="str">
        <x:v>Ali Gamal</x:v>
      </x:c>
      <x:c r="G402" s="25" t="str">
        <x:v>Consumer</x:v>
      </x:c>
      <x:c r="H402" s="25" t="str">
        <x:v>Retail Store</x:v>
      </x:c>
      <x:c r="I402" s="25" t="str">
        <x:v>Home Appliances</x:v>
      </x:c>
      <x:c r="J402" s="25" t="str">
        <x:v>Air Conditioner</x:v>
      </x:c>
      <x:c r="K402" s="25" t="n">
        <x:v>4</x:v>
      </x:c>
      <x:c r="L402" s="26" t="n">
        <x:v>19456</x:v>
      </x:c>
      <x:c r="M402" s="27" t="n">
        <x:v>0.05</x:v>
      </x:c>
      <x:c r="N402" s="26" t="n">
        <x:f>K402*L402</x:f>
        <x:v>77824</x:v>
      </x:c>
      <x:c r="O402" s="26" t="n">
        <x:f>N402*(1-M402)</x:f>
        <x:v>73932.8</x:v>
      </x:c>
      <x:c r="P402" s="26" t="n">
        <x:v>17702</x:v>
      </x:c>
      <x:c r="Q402" s="26" t="n">
        <x:f>K402*P402</x:f>
        <x:v>70808</x:v>
      </x:c>
      <x:c r="R402" s="26" t="n">
        <x:f>O402-Q402</x:f>
        <x:v>3124.800000000003</x:v>
      </x:c>
      <x:c r="S402" s="28" t="n">
        <x:f>IF(O402=0,0,R402/O402)</x:f>
        <x:v>0.04226540858725766</x:v>
      </x:c>
      <x:c r="T402" s="25" t="str">
        <x:v>Cash</x:v>
      </x:c>
      <x:c r="U402" s="25" t="str">
        <x:v>Returned</x:v>
      </x:c>
      <x:c r="V402" s="29" t="n">
        <x:v>4</x:v>
      </x:c>
    </x:row>
    <x:row r="403">
      <x:c r="A403" s="23" t="str">
        <x:v>MAN-2025-00402</x:v>
      </x:c>
      <x:c r="B403" s="24" t="n">
        <x:v>45680</x:v>
      </x:c>
      <x:c r="C403" s="25" t="str">
        <x:v>Mansoura</x:v>
      </x:c>
      <x:c r="D403" s="25" t="str">
        <x:v>Sherbin</x:v>
      </x:c>
      <x:c r="E403" s="25" t="str">
        <x:v>Ali Sayed</x:v>
      </x:c>
      <x:c r="F403" s="25" t="str">
        <x:v>Amr Nasser</x:v>
      </x:c>
      <x:c r="G403" s="25" t="str">
        <x:v>Consumer</x:v>
      </x:c>
      <x:c r="H403" s="25" t="str">
        <x:v>Retail Store</x:v>
      </x:c>
      <x:c r="I403" s="25" t="str">
        <x:v>Home Appliances</x:v>
      </x:c>
      <x:c r="J403" s="25" t="str">
        <x:v>Washing Machine</x:v>
      </x:c>
      <x:c r="K403" s="25" t="n">
        <x:v>3</x:v>
      </x:c>
      <x:c r="L403" s="26" t="n">
        <x:v>17236</x:v>
      </x:c>
      <x:c r="M403" s="27" t="n">
        <x:v>0</x:v>
      </x:c>
      <x:c r="N403" s="26" t="n">
        <x:f>K403*L403</x:f>
        <x:v>51708</x:v>
      </x:c>
      <x:c r="O403" s="26" t="n">
        <x:f>N403*(1-M403)</x:f>
        <x:v>51708</x:v>
      </x:c>
      <x:c r="P403" s="26" t="n">
        <x:v>14632</x:v>
      </x:c>
      <x:c r="Q403" s="26" t="n">
        <x:f>K403*P403</x:f>
        <x:v>43896</x:v>
      </x:c>
      <x:c r="R403" s="26" t="n">
        <x:f>O403-Q403</x:f>
        <x:v>7812</x:v>
      </x:c>
      <x:c r="S403" s="28" t="n">
        <x:f>IF(O403=0,0,R403/O403)</x:f>
        <x:v>0.1510791366906475</x:v>
      </x:c>
      <x:c r="T403" s="25" t="str">
        <x:v>Cash</x:v>
      </x:c>
      <x:c r="U403" s="25" t="str">
        <x:v>Completed</x:v>
      </x:c>
      <x:c r="V403" s="29" t="n">
        <x:v>4</x:v>
      </x:c>
    </x:row>
    <x:row r="404">
      <x:c r="A404" s="23" t="str">
        <x:v>MAN-2025-00403</x:v>
      </x:c>
      <x:c r="B404" s="24" t="n">
        <x:v>46009</x:v>
      </x:c>
      <x:c r="C404" s="25" t="str">
        <x:v>Mansoura</x:v>
      </x:c>
      <x:c r="D404" s="25" t="str">
        <x:v>Sherbin</x:v>
      </x:c>
      <x:c r="E404" s="25" t="str">
        <x:v>Ali Sayed</x:v>
      </x:c>
      <x:c r="F404" s="25" t="str">
        <x:v>Karim Mansour</x:v>
      </x:c>
      <x:c r="G404" s="25" t="str">
        <x:v>Small Business</x:v>
      </x:c>
      <x:c r="H404" s="25" t="str">
        <x:v>Phone Order</x:v>
      </x:c>
      <x:c r="I404" s="25" t="str">
        <x:v>Electronics</x:v>
      </x:c>
      <x:c r="J404" s="25" t="str">
        <x:v>Smartphone</x:v>
      </x:c>
      <x:c r="K404" s="25" t="n">
        <x:v>1</x:v>
      </x:c>
      <x:c r="L404" s="26" t="n">
        <x:v>12661</x:v>
      </x:c>
      <x:c r="M404" s="27" t="n">
        <x:v>0</x:v>
      </x:c>
      <x:c r="N404" s="26" t="n">
        <x:f>K404*L404</x:f>
        <x:v>12661</x:v>
      </x:c>
      <x:c r="O404" s="26" t="n">
        <x:f>N404*(1-M404)</x:f>
        <x:v>12661</x:v>
      </x:c>
      <x:c r="P404" s="26" t="n">
        <x:v>11189</x:v>
      </x:c>
      <x:c r="Q404" s="26" t="n">
        <x:f>K404*P404</x:f>
        <x:v>11189</x:v>
      </x:c>
      <x:c r="R404" s="26" t="n">
        <x:f>O404-Q404</x:f>
        <x:v>1472</x:v>
      </x:c>
      <x:c r="S404" s="28" t="n">
        <x:f>IF(O404=0,0,R404/O404)</x:f>
        <x:v>0.1162625385040676</x:v>
      </x:c>
      <x:c r="T404" s="25" t="str">
        <x:v>Credit Card</x:v>
      </x:c>
      <x:c r="U404" s="25" t="str">
        <x:v>Completed</x:v>
      </x:c>
      <x:c r="V404" s="29" t="n">
        <x:v>4</x:v>
      </x:c>
    </x:row>
    <x:row r="405">
      <x:c r="A405" s="23" t="str">
        <x:v>MAN-2025-00404</x:v>
      </x:c>
      <x:c r="B405" s="24" t="n">
        <x:v>45696</x:v>
      </x:c>
      <x:c r="C405" s="25" t="str">
        <x:v>Mansoura</x:v>
      </x:c>
      <x:c r="D405" s="25" t="str">
        <x:v>Sherbin</x:v>
      </x:c>
      <x:c r="E405" s="25" t="str">
        <x:v>Aya Farouk</x:v>
      </x:c>
      <x:c r="F405" s="25" t="str">
        <x:v>Mostafa Khalil</x:v>
      </x:c>
      <x:c r="G405" s="25" t="str">
        <x:v>Consumer</x:v>
      </x:c>
      <x:c r="H405" s="25" t="str">
        <x:v>Retail Store</x:v>
      </x:c>
      <x:c r="I405" s="25" t="str">
        <x:v>Furniture</x:v>
      </x:c>
      <x:c r="J405" s="25" t="str">
        <x:v>Bookshelf</x:v>
      </x:c>
      <x:c r="K405" s="25" t="n">
        <x:v>4</x:v>
      </x:c>
      <x:c r="L405" s="26" t="n">
        <x:v>2961</x:v>
      </x:c>
      <x:c r="M405" s="27" t="n">
        <x:v>0.15</x:v>
      </x:c>
      <x:c r="N405" s="26" t="n">
        <x:f>K405*L405</x:f>
        <x:v>11844</x:v>
      </x:c>
      <x:c r="O405" s="26" t="n">
        <x:f>N405*(1-M405)</x:f>
        <x:v>10067.4</x:v>
      </x:c>
      <x:c r="P405" s="26" t="n">
        <x:v>2175</x:v>
      </x:c>
      <x:c r="Q405" s="26" t="n">
        <x:f>K405*P405</x:f>
        <x:v>8700</x:v>
      </x:c>
      <x:c r="R405" s="26" t="n">
        <x:f>O405-Q405</x:f>
        <x:v>1367.3999999999996</x:v>
      </x:c>
      <x:c r="S405" s="28" t="n">
        <x:f>IF(O405=0,0,R405/O405)</x:f>
        <x:v>0.13582454258299062</x:v>
      </x:c>
      <x:c r="T405" s="25" t="str">
        <x:v>Debit Card</x:v>
      </x:c>
      <x:c r="U405" s="25" t="str">
        <x:v>Cancelled</x:v>
      </x:c>
      <x:c r="V405" s="29" t="n">
        <x:v>4</x:v>
      </x:c>
    </x:row>
    <x:row r="406">
      <x:c r="A406" s="23" t="str">
        <x:v>MAN-2025-00405</x:v>
      </x:c>
      <x:c r="B406" s="24" t="n">
        <x:v>45855</x:v>
      </x:c>
      <x:c r="C406" s="25" t="str">
        <x:v>Mansoura</x:v>
      </x:c>
      <x:c r="D406" s="25" t="str">
        <x:v>Sherbin</x:v>
      </x:c>
      <x:c r="E406" s="25" t="str">
        <x:v>Ali Sayed</x:v>
      </x:c>
      <x:c r="F406" s="25" t="str">
        <x:v>Aya Sayed</x:v>
      </x:c>
      <x:c r="G406" s="25" t="str">
        <x:v>Consumer</x:v>
      </x:c>
      <x:c r="H406" s="25" t="str">
        <x:v>Retail Store</x:v>
      </x:c>
      <x:c r="I406" s="25" t="str">
        <x:v>Office Supplies</x:v>
      </x:c>
      <x:c r="J406" s="25" t="str">
        <x:v>Printer</x:v>
      </x:c>
      <x:c r="K406" s="25" t="n">
        <x:v>4</x:v>
      </x:c>
      <x:c r="L406" s="26" t="n">
        <x:v>6646</x:v>
      </x:c>
      <x:c r="M406" s="27" t="n">
        <x:v>0.05</x:v>
      </x:c>
      <x:c r="N406" s="26" t="n">
        <x:f>K406*L406</x:f>
        <x:v>26584</x:v>
      </x:c>
      <x:c r="O406" s="26" t="n">
        <x:f>N406*(1-M406)</x:f>
        <x:v>25254.8</x:v>
      </x:c>
      <x:c r="P406" s="26" t="n">
        <x:v>5276</x:v>
      </x:c>
      <x:c r="Q406" s="26" t="n">
        <x:f>K406*P406</x:f>
        <x:v>21104</x:v>
      </x:c>
      <x:c r="R406" s="26" t="n">
        <x:f>O406-Q406</x:f>
        <x:v>4150.799999999999</x:v>
      </x:c>
      <x:c r="S406" s="28" t="n">
        <x:f>IF(O406=0,0,R406/O406)</x:f>
        <x:v>0.16435687473272406</x:v>
      </x:c>
      <x:c r="T406" s="25" t="str">
        <x:v>Credit Card</x:v>
      </x:c>
      <x:c r="U406" s="25" t="str">
        <x:v>Cancelled</x:v>
      </x:c>
      <x:c r="V406" s="29" t="n">
        <x:v>4</x:v>
      </x:c>
    </x:row>
    <x:row r="407">
      <x:c r="A407" s="23" t="str">
        <x:v>MAN-2025-00406</x:v>
      </x:c>
      <x:c r="B407" s="24" t="n">
        <x:v>45886</x:v>
      </x:c>
      <x:c r="C407" s="25" t="str">
        <x:v>Mansoura</x:v>
      </x:c>
      <x:c r="D407" s="25" t="str">
        <x:v>Sherbin</x:v>
      </x:c>
      <x:c r="E407" s="25" t="str">
        <x:v>Youssef Fathy</x:v>
      </x:c>
      <x:c r="F407" s="25" t="str">
        <x:v>Ahmed Tarek</x:v>
      </x:c>
      <x:c r="G407" s="25" t="str">
        <x:v>Consumer</x:v>
      </x:c>
      <x:c r="H407" s="25" t="str">
        <x:v>Mobile App</x:v>
      </x:c>
      <x:c r="I407" s="25" t="str">
        <x:v>Furniture</x:v>
      </x:c>
      <x:c r="J407" s="25" t="str">
        <x:v>Sofa</x:v>
      </x:c>
      <x:c r="K407" s="25" t="n">
        <x:v>5</x:v>
      </x:c>
      <x:c r="L407" s="26" t="n">
        <x:v>13554</x:v>
      </x:c>
      <x:c r="M407" s="27" t="n">
        <x:v>0.1</x:v>
      </x:c>
      <x:c r="N407" s="26" t="n">
        <x:f>K407*L407</x:f>
        <x:v>67770</x:v>
      </x:c>
      <x:c r="O407" s="26" t="n">
        <x:f>N407*(1-M407)</x:f>
        <x:v>60993</x:v>
      </x:c>
      <x:c r="P407" s="26" t="n">
        <x:v>11026</x:v>
      </x:c>
      <x:c r="Q407" s="26" t="n">
        <x:f>K407*P407</x:f>
        <x:v>55130</x:v>
      </x:c>
      <x:c r="R407" s="26" t="n">
        <x:f>O407-Q407</x:f>
        <x:v>5863</x:v>
      </x:c>
      <x:c r="S407" s="28" t="n">
        <x:f>IF(O407=0,0,R407/O407)</x:f>
        <x:v>0.09612578492613906</x:v>
      </x:c>
      <x:c r="T407" s="25" t="str">
        <x:v>Credit Card</x:v>
      </x:c>
      <x:c r="U407" s="25" t="str">
        <x:v>Completed</x:v>
      </x:c>
      <x:c r="V407" s="29" t="n">
        <x:v>4</x:v>
      </x:c>
    </x:row>
    <x:row r="408">
      <x:c r="A408" s="23" t="str">
        <x:v>MAN-2025-00407</x:v>
      </x:c>
      <x:c r="B408" s="24" t="n">
        <x:v>45939</x:v>
      </x:c>
      <x:c r="C408" s="25" t="str">
        <x:v>Mansoura</x:v>
      </x:c>
      <x:c r="D408" s="25" t="str">
        <x:v>Talkha</x:v>
      </x:c>
      <x:c r="E408" s="25" t="str">
        <x:v>Ali Sayed</x:v>
      </x:c>
      <x:c r="F408" s="25" t="str">
        <x:v>Omar Tarek</x:v>
      </x:c>
      <x:c r="G408" s="25" t="str">
        <x:v>Consumer</x:v>
      </x:c>
      <x:c r="H408" s="25" t="str">
        <x:v>Retail Store</x:v>
      </x:c>
      <x:c r="I408" s="25" t="str">
        <x:v>Furniture</x:v>
      </x:c>
      <x:c r="J408" s="25" t="str">
        <x:v>Office Chair</x:v>
      </x:c>
      <x:c r="K408" s="25" t="n">
        <x:v>5</x:v>
      </x:c>
      <x:c r="L408" s="26" t="n">
        <x:v>3766</x:v>
      </x:c>
      <x:c r="M408" s="27" t="n">
        <x:v>0.05</x:v>
      </x:c>
      <x:c r="N408" s="26" t="n">
        <x:f>K408*L408</x:f>
        <x:v>18830</x:v>
      </x:c>
      <x:c r="O408" s="26" t="n">
        <x:f>N408*(1-M408)</x:f>
        <x:v>17888.5</x:v>
      </x:c>
      <x:c r="P408" s="26" t="n">
        <x:v>2771</x:v>
      </x:c>
      <x:c r="Q408" s="26" t="n">
        <x:f>K408*P408</x:f>
        <x:v>13855</x:v>
      </x:c>
      <x:c r="R408" s="26" t="n">
        <x:f>O408-Q408</x:f>
        <x:v>4033.5</x:v>
      </x:c>
      <x:c r="S408" s="28" t="n">
        <x:f>IF(O408=0,0,R408/O408)</x:f>
        <x:v>0.22548005701987311</x:v>
      </x:c>
      <x:c r="T408" s="25" t="str">
        <x:v>Cash</x:v>
      </x:c>
      <x:c r="U408" s="25" t="str">
        <x:v>Completed</x:v>
      </x:c>
      <x:c r="V408" s="29" t="n">
        <x:v>4</x:v>
      </x:c>
    </x:row>
    <x:row r="409">
      <x:c r="A409" s="23" t="str">
        <x:v>MAN-2025-00408</x:v>
      </x:c>
      <x:c r="B409" s="24" t="n">
        <x:v>45930</x:v>
      </x:c>
      <x:c r="C409" s="25" t="str">
        <x:v>Mansoura</x:v>
      </x:c>
      <x:c r="D409" s="25" t="str">
        <x:v>Aga</x:v>
      </x:c>
      <x:c r="E409" s="25" t="str">
        <x:v>Aya Farouk</x:v>
      </x:c>
      <x:c r="F409" s="25" t="str">
        <x:v>Mahmoud Sayed</x:v>
      </x:c>
      <x:c r="G409" s="25" t="str">
        <x:v>Consumer</x:v>
      </x:c>
      <x:c r="H409" s="25" t="str">
        <x:v>Retail Store</x:v>
      </x:c>
      <x:c r="I409" s="25" t="str">
        <x:v>Office Supplies</x:v>
      </x:c>
      <x:c r="J409" s="25" t="str">
        <x:v>Calculator</x:v>
      </x:c>
      <x:c r="K409" s="25" t="n">
        <x:v>4</x:v>
      </x:c>
      <x:c r="L409" s="26" t="n">
        <x:v>416</x:v>
      </x:c>
      <x:c r="M409" s="27" t="n">
        <x:v>0.15</x:v>
      </x:c>
      <x:c r="N409" s="26" t="n">
        <x:f>K409*L409</x:f>
        <x:v>1664</x:v>
      </x:c>
      <x:c r="O409" s="26" t="n">
        <x:f>N409*(1-M409)</x:f>
        <x:v>1414.3999999999999</x:v>
      </x:c>
      <x:c r="P409" s="26" t="n">
        <x:v>281</x:v>
      </x:c>
      <x:c r="Q409" s="26" t="n">
        <x:f>K409*P409</x:f>
        <x:v>1124</x:v>
      </x:c>
      <x:c r="R409" s="26" t="n">
        <x:f>O409-Q409</x:f>
        <x:v>290.39999999999986</x:v>
      </x:c>
      <x:c r="S409" s="28" t="n">
        <x:f>IF(O409=0,0,R409/O409)</x:f>
        <x:v>0.2053167420814479</x:v>
      </x:c>
      <x:c r="T409" s="25" t="str">
        <x:v>Cash</x:v>
      </x:c>
      <x:c r="U409" s="25" t="str">
        <x:v>Cancelled</x:v>
      </x:c>
      <x:c r="V409" s="29" t="n">
        <x:v>5</x:v>
      </x:c>
    </x:row>
    <x:row r="410">
      <x:c r="A410" s="23" t="str">
        <x:v>MAN-2025-00409</x:v>
      </x:c>
      <x:c r="B410" s="24" t="n">
        <x:v>45883</x:v>
      </x:c>
      <x:c r="C410" s="25" t="str">
        <x:v>Mansoura</x:v>
      </x:c>
      <x:c r="D410" s="25" t="str">
        <x:v>Mansoura City</x:v>
      </x:c>
      <x:c r="E410" s="25" t="str">
        <x:v>Salma Mansour</x:v>
      </x:c>
      <x:c r="F410" s="25" t="str">
        <x:v>Aya Tarek</x:v>
      </x:c>
      <x:c r="G410" s="25" t="str">
        <x:v>Consumer</x:v>
      </x:c>
      <x:c r="H410" s="25" t="str">
        <x:v>Retail Store</x:v>
      </x:c>
      <x:c r="I410" s="25" t="str">
        <x:v>Home Appliances</x:v>
      </x:c>
      <x:c r="J410" s="25" t="str">
        <x:v>Washing Machine</x:v>
      </x:c>
      <x:c r="K410" s="25" t="n">
        <x:v>1</x:v>
      </x:c>
      <x:c r="L410" s="26" t="n">
        <x:v>16758</x:v>
      </x:c>
      <x:c r="M410" s="27" t="n">
        <x:v>0</x:v>
      </x:c>
      <x:c r="N410" s="26" t="n">
        <x:f>K410*L410</x:f>
        <x:v>16758</x:v>
      </x:c>
      <x:c r="O410" s="26" t="n">
        <x:f>N410*(1-M410)</x:f>
        <x:v>16758</x:v>
      </x:c>
      <x:c r="P410" s="26" t="n">
        <x:v>13938</x:v>
      </x:c>
      <x:c r="Q410" s="26" t="n">
        <x:f>K410*P410</x:f>
        <x:v>13938</x:v>
      </x:c>
      <x:c r="R410" s="26" t="n">
        <x:f>O410-Q410</x:f>
        <x:v>2820</x:v>
      </x:c>
      <x:c r="S410" s="28" t="n">
        <x:f>IF(O410=0,0,R410/O410)</x:f>
        <x:v>0.16827783745076977</x:v>
      </x:c>
      <x:c r="T410" s="25" t="str">
        <x:v>Credit Card</x:v>
      </x:c>
      <x:c r="U410" s="25" t="str">
        <x:v>Completed</x:v>
      </x:c>
      <x:c r="V410" s="29" t="n">
        <x:v>5</x:v>
      </x:c>
    </x:row>
    <x:row r="411">
      <x:c r="A411" s="23" t="str">
        <x:v>MAN-2025-00410</x:v>
      </x:c>
      <x:c r="B411" s="24" t="n">
        <x:v>45705</x:v>
      </x:c>
      <x:c r="C411" s="25" t="str">
        <x:v>Mansoura</x:v>
      </x:c>
      <x:c r="D411" s="25" t="str">
        <x:v>Talkha</x:v>
      </x:c>
      <x:c r="E411" s="25" t="str">
        <x:v>Ali Sayed</x:v>
      </x:c>
      <x:c r="F411" s="25" t="str">
        <x:v>Omar Hassan</x:v>
      </x:c>
      <x:c r="G411" s="25" t="str">
        <x:v>Small Business</x:v>
      </x:c>
      <x:c r="H411" s="25" t="str">
        <x:v>Mobile App</x:v>
      </x:c>
      <x:c r="I411" s="25" t="str">
        <x:v>Electronics</x:v>
      </x:c>
      <x:c r="J411" s="25" t="str">
        <x:v>Headphones</x:v>
      </x:c>
      <x:c r="K411" s="25" t="n">
        <x:v>5</x:v>
      </x:c>
      <x:c r="L411" s="26" t="n">
        <x:v>1695</x:v>
      </x:c>
      <x:c r="M411" s="27" t="n">
        <x:v>0.1</x:v>
      </x:c>
      <x:c r="N411" s="26" t="n">
        <x:f>K411*L411</x:f>
        <x:v>8475</x:v>
      </x:c>
      <x:c r="O411" s="26" t="n">
        <x:f>N411*(1-M411)</x:f>
        <x:v>7627.5</x:v>
      </x:c>
      <x:c r="P411" s="26" t="n">
        <x:v>1067</x:v>
      </x:c>
      <x:c r="Q411" s="26" t="n">
        <x:f>K411*P411</x:f>
        <x:v>5335</x:v>
      </x:c>
      <x:c r="R411" s="26" t="n">
        <x:f>O411-Q411</x:f>
        <x:v>2292.5</x:v>
      </x:c>
      <x:c r="S411" s="28" t="n">
        <x:f>IF(O411=0,0,R411/O411)</x:f>
        <x:v>0.3005571943625041</x:v>
      </x:c>
      <x:c r="T411" s="25" t="str">
        <x:v>Credit Card</x:v>
      </x:c>
      <x:c r="U411" s="25" t="str">
        <x:v>Completed</x:v>
      </x:c>
      <x:c r="V411" s="29" t="n">
        <x:v>5</x:v>
      </x:c>
    </x:row>
    <x:row r="412">
      <x:c r="A412" s="23" t="str">
        <x:v>MAN-2025-00411</x:v>
      </x:c>
      <x:c r="B412" s="24" t="n">
        <x:v>46017</x:v>
      </x:c>
      <x:c r="C412" s="25" t="str">
        <x:v>Mansoura</x:v>
      </x:c>
      <x:c r="D412" s="25" t="str">
        <x:v>Mansoura City</x:v>
      </x:c>
      <x:c r="E412" s="25" t="str">
        <x:v>Salma Mansour</x:v>
      </x:c>
      <x:c r="F412" s="25" t="str">
        <x:v>Youssef Tarek</x:v>
      </x:c>
      <x:c r="G412" s="25" t="str">
        <x:v>Consumer</x:v>
      </x:c>
      <x:c r="H412" s="25" t="str">
        <x:v>Mobile App</x:v>
      </x:c>
      <x:c r="I412" s="25" t="str">
        <x:v>Home Appliances</x:v>
      </x:c>
      <x:c r="J412" s="25" t="str">
        <x:v>Blender</x:v>
      </x:c>
      <x:c r="K412" s="25" t="n">
        <x:v>6</x:v>
      </x:c>
      <x:c r="L412" s="26" t="n">
        <x:v>1672</x:v>
      </x:c>
      <x:c r="M412" s="27" t="n">
        <x:v>0.15</x:v>
      </x:c>
      <x:c r="N412" s="26" t="n">
        <x:f>K412*L412</x:f>
        <x:v>10032</x:v>
      </x:c>
      <x:c r="O412" s="26" t="n">
        <x:f>N412*(1-M412)</x:f>
        <x:v>8527.199999999999</x:v>
      </x:c>
      <x:c r="P412" s="26" t="n">
        <x:v>1237</x:v>
      </x:c>
      <x:c r="Q412" s="26" t="n">
        <x:f>K412*P412</x:f>
        <x:v>7422</x:v>
      </x:c>
      <x:c r="R412" s="26" t="n">
        <x:f>O412-Q412</x:f>
        <x:v>1105.199999999999</x:v>
      </x:c>
      <x:c r="S412" s="28" t="n">
        <x:f>IF(O412=0,0,R412/O412)</x:f>
        <x:v>0.12960878131156758</x:v>
      </x:c>
      <x:c r="T412" s="25" t="str">
        <x:v>Cash</x:v>
      </x:c>
      <x:c r="U412" s="25" t="str">
        <x:v>Completed</x:v>
      </x:c>
      <x:c r="V412" s="29" t="n">
        <x:v>5</x:v>
      </x:c>
    </x:row>
    <x:row r="413">
      <x:c r="A413" s="23" t="str">
        <x:v>MAN-2025-00412</x:v>
      </x:c>
      <x:c r="B413" s="24" t="n">
        <x:v>45856</x:v>
      </x:c>
      <x:c r="C413" s="25" t="str">
        <x:v>Mansoura</x:v>
      </x:c>
      <x:c r="D413" s="25" t="str">
        <x:v>Talkha</x:v>
      </x:c>
      <x:c r="E413" s="25" t="str">
        <x:v>Salma Mansour</x:v>
      </x:c>
      <x:c r="F413" s="25" t="str">
        <x:v>Nour Sayed</x:v>
      </x:c>
      <x:c r="G413" s="25" t="str">
        <x:v>Consumer</x:v>
      </x:c>
      <x:c r="H413" s="25" t="str">
        <x:v>Retail Store</x:v>
      </x:c>
      <x:c r="I413" s="25" t="str">
        <x:v>Home Appliances</x:v>
      </x:c>
      <x:c r="J413" s="25" t="str">
        <x:v>Air Conditioner</x:v>
      </x:c>
      <x:c r="K413" s="25" t="n">
        <x:v>1</x:v>
      </x:c>
      <x:c r="L413" s="26" t="n">
        <x:v>19498</x:v>
      </x:c>
      <x:c r="M413" s="27" t="n">
        <x:v>0.05</x:v>
      </x:c>
      <x:c r="N413" s="26" t="n">
        <x:f>K413*L413</x:f>
        <x:v>19498</x:v>
      </x:c>
      <x:c r="O413" s="26" t="n">
        <x:f>N413*(1-M413)</x:f>
        <x:v>18523.1</x:v>
      </x:c>
      <x:c r="P413" s="26" t="n">
        <x:v>17402</x:v>
      </x:c>
      <x:c r="Q413" s="26" t="n">
        <x:f>K413*P413</x:f>
        <x:v>17402</x:v>
      </x:c>
      <x:c r="R413" s="26" t="n">
        <x:f>O413-Q413</x:f>
        <x:v>1121.0999999999985</x:v>
      </x:c>
      <x:c r="S413" s="28" t="n">
        <x:f>IF(O413=0,0,R413/O413)</x:f>
        <x:v>0.06052442625694396</x:v>
      </x:c>
      <x:c r="T413" s="25" t="str">
        <x:v>Bank Transfer</x:v>
      </x:c>
      <x:c r="U413" s="25" t="str">
        <x:v>Returned</x:v>
      </x:c>
      <x:c r="V413" s="29" t="n">
        <x:v>3</x:v>
      </x:c>
    </x:row>
    <x:row r="414">
      <x:c r="A414" s="23" t="str">
        <x:v>MAN-2025-00413</x:v>
      </x:c>
      <x:c r="B414" s="24" t="n">
        <x:v>45829</x:v>
      </x:c>
      <x:c r="C414" s="25" t="str">
        <x:v>Mansoura</x:v>
      </x:c>
      <x:c r="D414" s="25" t="str">
        <x:v>Mansoura City</x:v>
      </x:c>
      <x:c r="E414" s="25" t="str">
        <x:v>Ali Sayed</x:v>
      </x:c>
      <x:c r="F414" s="25" t="str">
        <x:v>Amr Adel</x:v>
      </x:c>
      <x:c r="G414" s="25" t="str">
        <x:v>Corporate</x:v>
      </x:c>
      <x:c r="H414" s="25" t="str">
        <x:v>Phone Order</x:v>
      </x:c>
      <x:c r="I414" s="25" t="str">
        <x:v>Home Appliances</x:v>
      </x:c>
      <x:c r="J414" s="25" t="str">
        <x:v>Blender</x:v>
      </x:c>
      <x:c r="K414" s="25" t="n">
        <x:v>5</x:v>
      </x:c>
      <x:c r="L414" s="26" t="n">
        <x:v>1778</x:v>
      </x:c>
      <x:c r="M414" s="27" t="n">
        <x:v>0.05</x:v>
      </x:c>
      <x:c r="N414" s="26" t="n">
        <x:f>K414*L414</x:f>
        <x:v>8890</x:v>
      </x:c>
      <x:c r="O414" s="26" t="n">
        <x:f>N414*(1-M414)</x:f>
        <x:v>8445.5</x:v>
      </x:c>
      <x:c r="P414" s="26" t="n">
        <x:v>1281</x:v>
      </x:c>
      <x:c r="Q414" s="26" t="n">
        <x:f>K414*P414</x:f>
        <x:v>6405</x:v>
      </x:c>
      <x:c r="R414" s="26" t="n">
        <x:f>O414-Q414</x:f>
        <x:v>2040.5</x:v>
      </x:c>
      <x:c r="S414" s="28" t="n">
        <x:f>IF(O414=0,0,R414/O414)</x:f>
        <x:v>0.24160795690012432</x:v>
      </x:c>
      <x:c r="T414" s="25" t="str">
        <x:v>Cash</x:v>
      </x:c>
      <x:c r="U414" s="25" t="str">
        <x:v>Completed</x:v>
      </x:c>
      <x:c r="V414" s="29" t="n">
        <x:v>5</x:v>
      </x:c>
    </x:row>
    <x:row r="415">
      <x:c r="A415" s="23" t="str">
        <x:v>MAN-2025-00414</x:v>
      </x:c>
      <x:c r="B415" s="24" t="n">
        <x:v>45769</x:v>
      </x:c>
      <x:c r="C415" s="25" t="str">
        <x:v>Mansoura</x:v>
      </x:c>
      <x:c r="D415" s="25" t="str">
        <x:v>Sherbin</x:v>
      </x:c>
      <x:c r="E415" s="25" t="str">
        <x:v>Ali Sayed</x:v>
      </x:c>
      <x:c r="F415" s="25" t="str">
        <x:v>Nour Samir</x:v>
      </x:c>
      <x:c r="G415" s="25" t="str">
        <x:v>Consumer</x:v>
      </x:c>
      <x:c r="H415" s="25" t="str">
        <x:v>Mobile App</x:v>
      </x:c>
      <x:c r="I415" s="25" t="str">
        <x:v>Furniture</x:v>
      </x:c>
      <x:c r="J415" s="25" t="str">
        <x:v>Office Chair</x:v>
      </x:c>
      <x:c r="K415" s="25" t="n">
        <x:v>4</x:v>
      </x:c>
      <x:c r="L415" s="26" t="n">
        <x:v>3790</x:v>
      </x:c>
      <x:c r="M415" s="27" t="n">
        <x:v>0.1</x:v>
      </x:c>
      <x:c r="N415" s="26" t="n">
        <x:f>K415*L415</x:f>
        <x:v>15160</x:v>
      </x:c>
      <x:c r="O415" s="26" t="n">
        <x:f>N415*(1-M415)</x:f>
        <x:v>13644</x:v>
      </x:c>
      <x:c r="P415" s="26" t="n">
        <x:v>2894</x:v>
      </x:c>
      <x:c r="Q415" s="26" t="n">
        <x:f>K415*P415</x:f>
        <x:v>11576</x:v>
      </x:c>
      <x:c r="R415" s="26" t="n">
        <x:f>O415-Q415</x:f>
        <x:v>2068</x:v>
      </x:c>
      <x:c r="S415" s="28" t="n">
        <x:f>IF(O415=0,0,R415/O415)</x:f>
        <x:v>0.15156845499853416</x:v>
      </x:c>
      <x:c r="T415" s="25" t="str">
        <x:v>Cash</x:v>
      </x:c>
      <x:c r="U415" s="25" t="str">
        <x:v>Completed</x:v>
      </x:c>
      <x:c r="V415" s="29" t="n">
        <x:v>4</x:v>
      </x:c>
    </x:row>
    <x:row r="416">
      <x:c r="A416" s="23" t="str">
        <x:v>MAN-2025-00415</x:v>
      </x:c>
      <x:c r="B416" s="24" t="n">
        <x:v>45916</x:v>
      </x:c>
      <x:c r="C416" s="25" t="str">
        <x:v>Mansoura</x:v>
      </x:c>
      <x:c r="D416" s="25" t="str">
        <x:v>Talkha</x:v>
      </x:c>
      <x:c r="E416" s="25" t="str">
        <x:v>Ali Sayed</x:v>
      </x:c>
      <x:c r="F416" s="25" t="str">
        <x:v>Karim Tarek</x:v>
      </x:c>
      <x:c r="G416" s="25" t="str">
        <x:v>Consumer</x:v>
      </x:c>
      <x:c r="H416" s="25" t="str">
        <x:v>Website</x:v>
      </x:c>
      <x:c r="I416" s="25" t="str">
        <x:v>Electronics</x:v>
      </x:c>
      <x:c r="J416" s="25" t="str">
        <x:v>Smartphone</x:v>
      </x:c>
      <x:c r="K416" s="25" t="n">
        <x:v>5</x:v>
      </x:c>
      <x:c r="L416" s="26" t="n">
        <x:v>13790</x:v>
      </x:c>
      <x:c r="M416" s="27" t="n">
        <x:v>0.1</x:v>
      </x:c>
      <x:c r="N416" s="26" t="n">
        <x:f>K416*L416</x:f>
        <x:v>68950</x:v>
      </x:c>
      <x:c r="O416" s="26" t="n">
        <x:f>N416*(1-M416)</x:f>
        <x:v>62055</x:v>
      </x:c>
      <x:c r="P416" s="26" t="n">
        <x:v>11035</x:v>
      </x:c>
      <x:c r="Q416" s="26" t="n">
        <x:f>K416*P416</x:f>
        <x:v>55175</x:v>
      </x:c>
      <x:c r="R416" s="26" t="n">
        <x:f>O416-Q416</x:f>
        <x:v>6880</x:v>
      </x:c>
      <x:c r="S416" s="28" t="n">
        <x:f>IF(O416=0,0,R416/O416)</x:f>
        <x:v>0.11086939005720732</x:v>
      </x:c>
      <x:c r="T416" s="25" t="str">
        <x:v>Digital Wallet</x:v>
      </x:c>
      <x:c r="U416" s="25" t="str">
        <x:v>Completed</x:v>
      </x:c>
      <x:c r="V416" s="29" t="n">
        <x:v>4</x:v>
      </x:c>
    </x:row>
    <x:row r="417">
      <x:c r="A417" s="23" t="str">
        <x:v>MAN-2025-00416</x:v>
      </x:c>
      <x:c r="B417" s="24" t="n">
        <x:v>46015</x:v>
      </x:c>
      <x:c r="C417" s="25" t="str">
        <x:v>Mansoura</x:v>
      </x:c>
      <x:c r="D417" s="25" t="str">
        <x:v>Talkha</x:v>
      </x:c>
      <x:c r="E417" s="25" t="str">
        <x:v>Ali Sayed</x:v>
      </x:c>
      <x:c r="F417" s="25" t="str">
        <x:v>Mariam Fathy</x:v>
      </x:c>
      <x:c r="G417" s="25" t="str">
        <x:v>Consumer</x:v>
      </x:c>
      <x:c r="H417" s="25" t="str">
        <x:v>Retail Store</x:v>
      </x:c>
      <x:c r="I417" s="25" t="str">
        <x:v>Electronics</x:v>
      </x:c>
      <x:c r="J417" s="25" t="str">
        <x:v>Tablet</x:v>
      </x:c>
      <x:c r="K417" s="25" t="n">
        <x:v>4</x:v>
      </x:c>
      <x:c r="L417" s="26" t="n">
        <x:v>9383</x:v>
      </x:c>
      <x:c r="M417" s="27" t="n">
        <x:v>0</x:v>
      </x:c>
      <x:c r="N417" s="26" t="n">
        <x:f>K417*L417</x:f>
        <x:v>37532</x:v>
      </x:c>
      <x:c r="O417" s="26" t="n">
        <x:f>N417*(1-M417)</x:f>
        <x:v>37532</x:v>
      </x:c>
      <x:c r="P417" s="26" t="n">
        <x:v>7527</x:v>
      </x:c>
      <x:c r="Q417" s="26" t="n">
        <x:f>K417*P417</x:f>
        <x:v>30108</x:v>
      </x:c>
      <x:c r="R417" s="26" t="n">
        <x:f>O417-Q417</x:f>
        <x:v>7424</x:v>
      </x:c>
      <x:c r="S417" s="28" t="n">
        <x:f>IF(O417=0,0,R417/O417)</x:f>
        <x:v>0.19780454012575935</x:v>
      </x:c>
      <x:c r="T417" s="25" t="str">
        <x:v>Debit Card</x:v>
      </x:c>
      <x:c r="U417" s="25" t="str">
        <x:v>Completed</x:v>
      </x:c>
      <x:c r="V417" s="29" t="n">
        <x:v>4</x:v>
      </x:c>
    </x:row>
    <x:row r="418">
      <x:c r="A418" s="23" t="str">
        <x:v>MAN-2025-00417</x:v>
      </x:c>
      <x:c r="B418" s="24" t="n">
        <x:v>46003</x:v>
      </x:c>
      <x:c r="C418" s="25" t="str">
        <x:v>Mansoura</x:v>
      </x:c>
      <x:c r="D418" s="25" t="str">
        <x:v>Mit Ghamr</x:v>
      </x:c>
      <x:c r="E418" s="25" t="str">
        <x:v>Ali Sayed</x:v>
      </x:c>
      <x:c r="F418" s="25" t="str">
        <x:v>Mohamed Ibrahim</x:v>
      </x:c>
      <x:c r="G418" s="25" t="str">
        <x:v>Consumer</x:v>
      </x:c>
      <x:c r="H418" s="25" t="str">
        <x:v>Retail Store</x:v>
      </x:c>
      <x:c r="I418" s="25" t="str">
        <x:v>Furniture</x:v>
      </x:c>
      <x:c r="J418" s="25" t="str">
        <x:v>Bookshelf</x:v>
      </x:c>
      <x:c r="K418" s="25" t="n">
        <x:v>1</x:v>
      </x:c>
      <x:c r="L418" s="26" t="n">
        <x:v>2851</x:v>
      </x:c>
      <x:c r="M418" s="27" t="n">
        <x:v>0</x:v>
      </x:c>
      <x:c r="N418" s="26" t="n">
        <x:f>K418*L418</x:f>
        <x:v>2851</x:v>
      </x:c>
      <x:c r="O418" s="26" t="n">
        <x:f>N418*(1-M418)</x:f>
        <x:v>2851</x:v>
      </x:c>
      <x:c r="P418" s="26" t="n">
        <x:v>2268</x:v>
      </x:c>
      <x:c r="Q418" s="26" t="n">
        <x:f>K418*P418</x:f>
        <x:v>2268</x:v>
      </x:c>
      <x:c r="R418" s="26" t="n">
        <x:f>O418-Q418</x:f>
        <x:v>583</x:v>
      </x:c>
      <x:c r="S418" s="28" t="n">
        <x:f>IF(O418=0,0,R418/O418)</x:f>
        <x:v>0.20448965275341985</x:v>
      </x:c>
      <x:c r="T418" s="25" t="str">
        <x:v>Credit Card</x:v>
      </x:c>
      <x:c r="U418" s="25" t="str">
        <x:v>Returned</x:v>
      </x:c>
      <x:c r="V418" s="29" t="n">
        <x:v>4</x:v>
      </x:c>
    </x:row>
    <x:row r="419">
      <x:c r="A419" s="23" t="str">
        <x:v>MAN-2025-00418</x:v>
      </x:c>
      <x:c r="B419" s="24" t="n">
        <x:v>45679</x:v>
      </x:c>
      <x:c r="C419" s="25" t="str">
        <x:v>Mansoura</x:v>
      </x:c>
      <x:c r="D419" s="25" t="str">
        <x:v>Mansoura City</x:v>
      </x:c>
      <x:c r="E419" s="25" t="str">
        <x:v>Ali Sayed</x:v>
      </x:c>
      <x:c r="F419" s="25" t="str">
        <x:v>Aya Samir</x:v>
      </x:c>
      <x:c r="G419" s="25" t="str">
        <x:v>Small Business</x:v>
      </x:c>
      <x:c r="H419" s="25" t="str">
        <x:v>Mobile App</x:v>
      </x:c>
      <x:c r="I419" s="25" t="str">
        <x:v>Furniture</x:v>
      </x:c>
      <x:c r="J419" s="25" t="str">
        <x:v>Bookshelf</x:v>
      </x:c>
      <x:c r="K419" s="25" t="n">
        <x:v>2</x:v>
      </x:c>
      <x:c r="L419" s="26" t="n">
        <x:v>2954</x:v>
      </x:c>
      <x:c r="M419" s="27" t="n">
        <x:v>0.1</x:v>
      </x:c>
      <x:c r="N419" s="26" t="n">
        <x:f>K419*L419</x:f>
        <x:v>5908</x:v>
      </x:c>
      <x:c r="O419" s="26" t="n">
        <x:f>N419*(1-M419)</x:f>
        <x:v>5317.2</x:v>
      </x:c>
      <x:c r="P419" s="26" t="n">
        <x:v>2202</x:v>
      </x:c>
      <x:c r="Q419" s="26" t="n">
        <x:f>K419*P419</x:f>
        <x:v>4404</x:v>
      </x:c>
      <x:c r="R419" s="26" t="n">
        <x:f>O419-Q419</x:f>
        <x:v>913.1999999999998</x:v>
      </x:c>
      <x:c r="S419" s="28" t="n">
        <x:f>IF(O419=0,0,R419/O419)</x:f>
        <x:v>0.17174452719476413</x:v>
      </x:c>
      <x:c r="T419" s="25" t="str">
        <x:v>Cash</x:v>
      </x:c>
      <x:c r="U419" s="25" t="str">
        <x:v>Cancelled</x:v>
      </x:c>
      <x:c r="V419" s="29" t="n">
        <x:v>5</x:v>
      </x:c>
    </x:row>
    <x:row r="420">
      <x:c r="A420" s="23" t="str">
        <x:v>MAN-2025-00419</x:v>
      </x:c>
      <x:c r="B420" s="24" t="n">
        <x:v>45922</x:v>
      </x:c>
      <x:c r="C420" s="25" t="str">
        <x:v>Mansoura</x:v>
      </x:c>
      <x:c r="D420" s="25" t="str">
        <x:v>Mansoura City</x:v>
      </x:c>
      <x:c r="E420" s="25" t="str">
        <x:v>Aya Farouk</x:v>
      </x:c>
      <x:c r="F420" s="25" t="str">
        <x:v>Nour Sayed</x:v>
      </x:c>
      <x:c r="G420" s="25" t="str">
        <x:v>Corporate</x:v>
      </x:c>
      <x:c r="H420" s="25" t="str">
        <x:v>Retail Store</x:v>
      </x:c>
      <x:c r="I420" s="25" t="str">
        <x:v>Office Supplies</x:v>
      </x:c>
      <x:c r="J420" s="25" t="str">
        <x:v>Paper Box</x:v>
      </x:c>
      <x:c r="K420" s="25" t="n">
        <x:v>3</x:v>
      </x:c>
      <x:c r="L420" s="26" t="n">
        <x:v>365</x:v>
      </x:c>
      <x:c r="M420" s="27" t="n">
        <x:v>0</x:v>
      </x:c>
      <x:c r="N420" s="26" t="n">
        <x:f>K420*L420</x:f>
        <x:v>1095</x:v>
      </x:c>
      <x:c r="O420" s="26" t="n">
        <x:f>N420*(1-M420)</x:f>
        <x:v>1095</x:v>
      </x:c>
      <x:c r="P420" s="26" t="n">
        <x:v>263</x:v>
      </x:c>
      <x:c r="Q420" s="26" t="n">
        <x:f>K420*P420</x:f>
        <x:v>789</x:v>
      </x:c>
      <x:c r="R420" s="26" t="n">
        <x:f>O420-Q420</x:f>
        <x:v>306</x:v>
      </x:c>
      <x:c r="S420" s="28" t="n">
        <x:f>IF(O420=0,0,R420/O420)</x:f>
        <x:v>0.27945205479452057</x:v>
      </x:c>
      <x:c r="T420" s="25" t="str">
        <x:v>Digital Wallet</x:v>
      </x:c>
      <x:c r="U420" s="25" t="str">
        <x:v>Cancelled</x:v>
      </x:c>
      <x:c r="V420" s="29" t="n">
        <x:v>4</x:v>
      </x:c>
    </x:row>
    <x:row r="421">
      <x:c r="A421" s="23" t="str">
        <x:v>MAN-2025-00420</x:v>
      </x:c>
      <x:c r="B421" s="24" t="n">
        <x:v>45783</x:v>
      </x:c>
      <x:c r="C421" s="25" t="str">
        <x:v>Mansoura</x:v>
      </x:c>
      <x:c r="D421" s="25" t="str">
        <x:v>Aga</x:v>
      </x:c>
      <x:c r="E421" s="25" t="str">
        <x:v>Salma Mansour</x:v>
      </x:c>
      <x:c r="F421" s="25" t="str">
        <x:v>Ahmed Hassan</x:v>
      </x:c>
      <x:c r="G421" s="25" t="str">
        <x:v>Corporate</x:v>
      </x:c>
      <x:c r="H421" s="25" t="str">
        <x:v>Phone Order</x:v>
      </x:c>
      <x:c r="I421" s="25" t="str">
        <x:v>Electronics</x:v>
      </x:c>
      <x:c r="J421" s="25" t="str">
        <x:v>Laptop</x:v>
      </x:c>
      <x:c r="K421" s="25" t="n">
        <x:v>6</x:v>
      </x:c>
      <x:c r="L421" s="26" t="n">
        <x:v>23848</x:v>
      </x:c>
      <x:c r="M421" s="27" t="n">
        <x:v>0.1</x:v>
      </x:c>
      <x:c r="N421" s="26" t="n">
        <x:f>K421*L421</x:f>
        <x:v>143088</x:v>
      </x:c>
      <x:c r="O421" s="26" t="n">
        <x:f>N421*(1-M421)</x:f>
        <x:v>128779.2</x:v>
      </x:c>
      <x:c r="P421" s="26" t="n">
        <x:v>21639</x:v>
      </x:c>
      <x:c r="Q421" s="26" t="n">
        <x:f>K421*P421</x:f>
        <x:v>129834</x:v>
      </x:c>
      <x:c r="R421" s="26" t="n">
        <x:f>O421-Q421</x:f>
        <x:v>-1054.800000000003</x:v>
      </x:c>
      <x:c r="S421" s="28" t="n">
        <x:f>IF(O421=0,0,R421/O421)</x:f>
        <x:v>-0.0081907637258191</x:v>
      </x:c>
      <x:c r="T421" s="25" t="str">
        <x:v>Cash</x:v>
      </x:c>
      <x:c r="U421" s="25" t="str">
        <x:v>Completed</x:v>
      </x:c>
      <x:c r="V421" s="29" t="n">
        <x:v>4</x:v>
      </x:c>
    </x:row>
    <x:row r="422">
      <x:c r="A422" s="23" t="str">
        <x:v>MAN-2025-00421</x:v>
      </x:c>
      <x:c r="B422" s="24" t="n">
        <x:v>45715</x:v>
      </x:c>
      <x:c r="C422" s="25" t="str">
        <x:v>Mansoura</x:v>
      </x:c>
      <x:c r="D422" s="25" t="str">
        <x:v>Mit Ghamr</x:v>
      </x:c>
      <x:c r="E422" s="25" t="str">
        <x:v>Ali Sayed</x:v>
      </x:c>
      <x:c r="F422" s="25" t="str">
        <x:v>Sara Samir</x:v>
      </x:c>
      <x:c r="G422" s="25" t="str">
        <x:v>Consumer</x:v>
      </x:c>
      <x:c r="H422" s="25" t="str">
        <x:v>Phone Order</x:v>
      </x:c>
      <x:c r="I422" s="25" t="str">
        <x:v>Furniture</x:v>
      </x:c>
      <x:c r="J422" s="25" t="str">
        <x:v>Office Chair</x:v>
      </x:c>
      <x:c r="K422" s="25" t="n">
        <x:v>4</x:v>
      </x:c>
      <x:c r="L422" s="26" t="n">
        <x:v>3974</x:v>
      </x:c>
      <x:c r="M422" s="27" t="n">
        <x:v>0.1</x:v>
      </x:c>
      <x:c r="N422" s="26" t="n">
        <x:f>K422*L422</x:f>
        <x:v>15896</x:v>
      </x:c>
      <x:c r="O422" s="26" t="n">
        <x:f>N422*(1-M422)</x:f>
        <x:v>14306.4</x:v>
      </x:c>
      <x:c r="P422" s="26" t="n">
        <x:v>2959</x:v>
      </x:c>
      <x:c r="Q422" s="26" t="n">
        <x:f>K422*P422</x:f>
        <x:v>11836</x:v>
      </x:c>
      <x:c r="R422" s="26" t="n">
        <x:f>O422-Q422</x:f>
        <x:v>2470.3999999999996</x:v>
      </x:c>
      <x:c r="S422" s="28" t="n">
        <x:f>IF(O422=0,0,R422/O422)</x:f>
        <x:v>0.17267796231057428</x:v>
      </x:c>
      <x:c r="T422" s="25" t="str">
        <x:v>Credit Card</x:v>
      </x:c>
      <x:c r="U422" s="25" t="str">
        <x:v>Completed</x:v>
      </x:c>
      <x:c r="V422" s="29" t="n">
        <x:v>3</x:v>
      </x:c>
    </x:row>
    <x:row r="423">
      <x:c r="A423" s="23" t="str">
        <x:v>MAN-2025-00422</x:v>
      </x:c>
      <x:c r="B423" s="24" t="n">
        <x:v>45876</x:v>
      </x:c>
      <x:c r="C423" s="25" t="str">
        <x:v>Mansoura</x:v>
      </x:c>
      <x:c r="D423" s="25" t="str">
        <x:v>Aga</x:v>
      </x:c>
      <x:c r="E423" s="25" t="str">
        <x:v>Aya Farouk</x:v>
      </x:c>
      <x:c r="F423" s="25" t="str">
        <x:v>Nour Nasser</x:v>
      </x:c>
      <x:c r="G423" s="25" t="str">
        <x:v>Consumer</x:v>
      </x:c>
      <x:c r="H423" s="25" t="str">
        <x:v>Mobile App</x:v>
      </x:c>
      <x:c r="I423" s="25" t="str">
        <x:v>Electronics</x:v>
      </x:c>
      <x:c r="J423" s="25" t="str">
        <x:v>Smartphone</x:v>
      </x:c>
      <x:c r="K423" s="25" t="n">
        <x:v>6</x:v>
      </x:c>
      <x:c r="L423" s="26" t="n">
        <x:v>12727</x:v>
      </x:c>
      <x:c r="M423" s="27" t="n">
        <x:v>0.1</x:v>
      </x:c>
      <x:c r="N423" s="26" t="n">
        <x:f>K423*L423</x:f>
        <x:v>76362</x:v>
      </x:c>
      <x:c r="O423" s="26" t="n">
        <x:f>N423*(1-M423)</x:f>
        <x:v>68725.8</x:v>
      </x:c>
      <x:c r="P423" s="26" t="n">
        <x:v>10674</x:v>
      </x:c>
      <x:c r="Q423" s="26" t="n">
        <x:f>K423*P423</x:f>
        <x:v>64044</x:v>
      </x:c>
      <x:c r="R423" s="26" t="n">
        <x:f>O423-Q423</x:f>
        <x:v>4681.800000000003</x:v>
      </x:c>
      <x:c r="S423" s="28" t="n">
        <x:f>IF(O423=0,0,R423/O423)</x:f>
        <x:v>0.06812288834760749</x:v>
      </x:c>
      <x:c r="T423" s="25" t="str">
        <x:v>Credit Card</x:v>
      </x:c>
      <x:c r="U423" s="25" t="str">
        <x:v>Completed</x:v>
      </x:c>
      <x:c r="V423" s="29" t="n">
        <x:v>4</x:v>
      </x:c>
    </x:row>
    <x:row r="424">
      <x:c r="A424" s="23" t="str">
        <x:v>MAN-2025-00423</x:v>
      </x:c>
      <x:c r="B424" s="24" t="n">
        <x:v>45960</x:v>
      </x:c>
      <x:c r="C424" s="25" t="str">
        <x:v>Mansoura</x:v>
      </x:c>
      <x:c r="D424" s="25" t="str">
        <x:v>Mit Ghamr</x:v>
      </x:c>
      <x:c r="E424" s="25" t="str">
        <x:v>Aya Farouk</x:v>
      </x:c>
      <x:c r="F424" s="25" t="str">
        <x:v>Aya Farouk</x:v>
      </x:c>
      <x:c r="G424" s="25" t="str">
        <x:v>Consumer</x:v>
      </x:c>
      <x:c r="H424" s="25" t="str">
        <x:v>Website</x:v>
      </x:c>
      <x:c r="I424" s="25" t="str">
        <x:v>Office Supplies</x:v>
      </x:c>
      <x:c r="J424" s="25" t="str">
        <x:v>Ink Cartridge</x:v>
      </x:c>
      <x:c r="K424" s="25" t="n">
        <x:v>3</x:v>
      </x:c>
      <x:c r="L424" s="26" t="n">
        <x:v>800</x:v>
      </x:c>
      <x:c r="M424" s="27" t="n">
        <x:v>0.05</x:v>
      </x:c>
      <x:c r="N424" s="26" t="n">
        <x:f>K424*L424</x:f>
        <x:v>2400</x:v>
      </x:c>
      <x:c r="O424" s="26" t="n">
        <x:f>N424*(1-M424)</x:f>
        <x:v>2280</x:v>
      </x:c>
      <x:c r="P424" s="26" t="n">
        <x:v>562</x:v>
      </x:c>
      <x:c r="Q424" s="26" t="n">
        <x:f>K424*P424</x:f>
        <x:v>1686</x:v>
      </x:c>
      <x:c r="R424" s="26" t="n">
        <x:f>O424-Q424</x:f>
        <x:v>594</x:v>
      </x:c>
      <x:c r="S424" s="28" t="n">
        <x:f>IF(O424=0,0,R424/O424)</x:f>
        <x:v>0.26052631578947366</x:v>
      </x:c>
      <x:c r="T424" s="25" t="str">
        <x:v>Digital Wallet</x:v>
      </x:c>
      <x:c r="U424" s="25" t="str">
        <x:v>Completed</x:v>
      </x:c>
      <x:c r="V424" s="29" t="n">
        <x:v>4</x:v>
      </x:c>
    </x:row>
    <x:row r="425">
      <x:c r="A425" s="23" t="str">
        <x:v>MAN-2025-00424</x:v>
      </x:c>
      <x:c r="B425" s="24" t="n">
        <x:v>45693</x:v>
      </x:c>
      <x:c r="C425" s="25" t="str">
        <x:v>Mansoura</x:v>
      </x:c>
      <x:c r="D425" s="25" t="str">
        <x:v>Sherbin</x:v>
      </x:c>
      <x:c r="E425" s="25" t="str">
        <x:v>Salma Mansour</x:v>
      </x:c>
      <x:c r="F425" s="25" t="str">
        <x:v>Karim Sayed</x:v>
      </x:c>
      <x:c r="G425" s="25" t="str">
        <x:v>Corporate</x:v>
      </x:c>
      <x:c r="H425" s="25" t="str">
        <x:v>Retail Store</x:v>
      </x:c>
      <x:c r="I425" s="25" t="str">
        <x:v>Home Appliances</x:v>
      </x:c>
      <x:c r="J425" s="25" t="str">
        <x:v>Washing Machine</x:v>
      </x:c>
      <x:c r="K425" s="25" t="n">
        <x:v>2</x:v>
      </x:c>
      <x:c r="L425" s="26" t="n">
        <x:v>15329</x:v>
      </x:c>
      <x:c r="M425" s="27" t="n">
        <x:v>0.1</x:v>
      </x:c>
      <x:c r="N425" s="26" t="n">
        <x:f>K425*L425</x:f>
        <x:v>30658</x:v>
      </x:c>
      <x:c r="O425" s="26" t="n">
        <x:f>N425*(1-M425)</x:f>
        <x:v>27592.2</x:v>
      </x:c>
      <x:c r="P425" s="26" t="n">
        <x:v>14270</x:v>
      </x:c>
      <x:c r="Q425" s="26" t="n">
        <x:f>K425*P425</x:f>
        <x:v>28540</x:v>
      </x:c>
      <x:c r="R425" s="26" t="n">
        <x:f>O425-Q425</x:f>
        <x:v>-947.7999999999993</x:v>
      </x:c>
      <x:c r="S425" s="28" t="n">
        <x:f>IF(O425=0,0,R425/O425)</x:f>
        <x:v>-0.03435028740006231</x:v>
      </x:c>
      <x:c r="T425" s="25" t="str">
        <x:v>Bank Transfer</x:v>
      </x:c>
      <x:c r="U425" s="25" t="str">
        <x:v>Completed</x:v>
      </x:c>
      <x:c r="V425" s="29" t="n">
        <x:v>4</x:v>
      </x:c>
    </x:row>
    <x:row r="426">
      <x:c r="A426" s="23" t="str">
        <x:v>MAN-2025-00425</x:v>
      </x:c>
      <x:c r="B426" s="24" t="n">
        <x:v>45857</x:v>
      </x:c>
      <x:c r="C426" s="25" t="str">
        <x:v>Mansoura</x:v>
      </x:c>
      <x:c r="D426" s="25" t="str">
        <x:v>Talkha</x:v>
      </x:c>
      <x:c r="E426" s="25" t="str">
        <x:v>Ali Sayed</x:v>
      </x:c>
      <x:c r="F426" s="25" t="str">
        <x:v>Ali Fathy</x:v>
      </x:c>
      <x:c r="G426" s="25" t="str">
        <x:v>Consumer</x:v>
      </x:c>
      <x:c r="H426" s="25" t="str">
        <x:v>Retail Store</x:v>
      </x:c>
      <x:c r="I426" s="25" t="str">
        <x:v>Office Supplies</x:v>
      </x:c>
      <x:c r="J426" s="25" t="str">
        <x:v>Ink Cartridge</x:v>
      </x:c>
      <x:c r="K426" s="25" t="n">
        <x:v>1</x:v>
      </x:c>
      <x:c r="L426" s="26" t="n">
        <x:v>892</x:v>
      </x:c>
      <x:c r="M426" s="27" t="n">
        <x:v>0.05</x:v>
      </x:c>
      <x:c r="N426" s="26" t="n">
        <x:f>K426*L426</x:f>
        <x:v>892</x:v>
      </x:c>
      <x:c r="O426" s="26" t="n">
        <x:f>N426*(1-M426)</x:f>
        <x:v>847.4</x:v>
      </x:c>
      <x:c r="P426" s="26" t="n">
        <x:v>592</x:v>
      </x:c>
      <x:c r="Q426" s="26" t="n">
        <x:f>K426*P426</x:f>
        <x:v>592</x:v>
      </x:c>
      <x:c r="R426" s="26" t="n">
        <x:f>O426-Q426</x:f>
        <x:v>255.39999999999998</x:v>
      </x:c>
      <x:c r="S426" s="28" t="n">
        <x:f>IF(O426=0,0,R426/O426)</x:f>
        <x:v>0.30139249468963886</x:v>
      </x:c>
      <x:c r="T426" s="25" t="str">
        <x:v>Credit Card</x:v>
      </x:c>
      <x:c r="U426" s="25" t="str">
        <x:v>Cancelled</x:v>
      </x:c>
      <x:c r="V426" s="29" t="n">
        <x:v>4</x:v>
      </x:c>
    </x:row>
    <x:row r="427">
      <x:c r="A427" s="23" t="str">
        <x:v>MAN-2025-00426</x:v>
      </x:c>
      <x:c r="B427" s="24" t="n">
        <x:v>45793</x:v>
      </x:c>
      <x:c r="C427" s="25" t="str">
        <x:v>Mansoura</x:v>
      </x:c>
      <x:c r="D427" s="25" t="str">
        <x:v>Talkha</x:v>
      </x:c>
      <x:c r="E427" s="25" t="str">
        <x:v>Ali Sayed</x:v>
      </x:c>
      <x:c r="F427" s="25" t="str">
        <x:v>Mariam Mansour</x:v>
      </x:c>
      <x:c r="G427" s="25" t="str">
        <x:v>Small Business</x:v>
      </x:c>
      <x:c r="H427" s="25" t="str">
        <x:v>Website</x:v>
      </x:c>
      <x:c r="I427" s="25" t="str">
        <x:v>Furniture</x:v>
      </x:c>
      <x:c r="J427" s="25" t="str">
        <x:v>Sofa</x:v>
      </x:c>
      <x:c r="K427" s="25" t="n">
        <x:v>2</x:v>
      </x:c>
      <x:c r="L427" s="26" t="n">
        <x:v>13715</x:v>
      </x:c>
      <x:c r="M427" s="27" t="n">
        <x:v>0.1</x:v>
      </x:c>
      <x:c r="N427" s="26" t="n">
        <x:f>K427*L427</x:f>
        <x:v>27430</x:v>
      </x:c>
      <x:c r="O427" s="26" t="n">
        <x:f>N427*(1-M427)</x:f>
        <x:v>24687</x:v>
      </x:c>
      <x:c r="P427" s="26" t="n">
        <x:v>11040</x:v>
      </x:c>
      <x:c r="Q427" s="26" t="n">
        <x:f>K427*P427</x:f>
        <x:v>22080</x:v>
      </x:c>
      <x:c r="R427" s="26" t="n">
        <x:f>O427-Q427</x:f>
        <x:v>2607</x:v>
      </x:c>
      <x:c r="S427" s="28" t="n">
        <x:f>IF(O427=0,0,R427/O427)</x:f>
        <x:v>0.10560213877749423</x:v>
      </x:c>
      <x:c r="T427" s="25" t="str">
        <x:v>Debit Card</x:v>
      </x:c>
      <x:c r="U427" s="25" t="str">
        <x:v>Completed</x:v>
      </x:c>
      <x:c r="V427" s="29" t="n">
        <x:v>5</x:v>
      </x:c>
    </x:row>
    <x:row r="428">
      <x:c r="A428" s="23" t="str">
        <x:v>MAN-2025-00427</x:v>
      </x:c>
      <x:c r="B428" s="24" t="n">
        <x:v>45796</x:v>
      </x:c>
      <x:c r="C428" s="25" t="str">
        <x:v>Mansoura</x:v>
      </x:c>
      <x:c r="D428" s="25" t="str">
        <x:v>Sherbin</x:v>
      </x:c>
      <x:c r="E428" s="25" t="str">
        <x:v>Youssef Fathy</x:v>
      </x:c>
      <x:c r="F428" s="25" t="str">
        <x:v>Amr Sayed</x:v>
      </x:c>
      <x:c r="G428" s="25" t="str">
        <x:v>Small Business</x:v>
      </x:c>
      <x:c r="H428" s="25" t="str">
        <x:v>Website</x:v>
      </x:c>
      <x:c r="I428" s="25" t="str">
        <x:v>Home Appliances</x:v>
      </x:c>
      <x:c r="J428" s="25" t="str">
        <x:v>Washing Machine</x:v>
      </x:c>
      <x:c r="K428" s="25" t="n">
        <x:v>6</x:v>
      </x:c>
      <x:c r="L428" s="26" t="n">
        <x:v>15868</x:v>
      </x:c>
      <x:c r="M428" s="27" t="n">
        <x:v>0.1</x:v>
      </x:c>
      <x:c r="N428" s="26" t="n">
        <x:f>K428*L428</x:f>
        <x:v>95208</x:v>
      </x:c>
      <x:c r="O428" s="26" t="n">
        <x:f>N428*(1-M428)</x:f>
        <x:v>85687.2</x:v>
      </x:c>
      <x:c r="P428" s="26" t="n">
        <x:v>14022</x:v>
      </x:c>
      <x:c r="Q428" s="26" t="n">
        <x:f>K428*P428</x:f>
        <x:v>84132</x:v>
      </x:c>
      <x:c r="R428" s="26" t="n">
        <x:f>O428-Q428</x:f>
        <x:v>1555.199999999997</x:v>
      </x:c>
      <x:c r="S428" s="28" t="n">
        <x:f>IF(O428=0,0,R428/O428)</x:f>
        <x:v>0.018149735316359935</x:v>
      </x:c>
      <x:c r="T428" s="25" t="str">
        <x:v>Debit Card</x:v>
      </x:c>
      <x:c r="U428" s="25" t="str">
        <x:v>Cancelled</x:v>
      </x:c>
      <x:c r="V428" s="29" t="n">
        <x:v>4</x:v>
      </x:c>
    </x:row>
    <x:row r="429">
      <x:c r="A429" s="23" t="str">
        <x:v>MAN-2025-00428</x:v>
      </x:c>
      <x:c r="B429" s="24" t="n">
        <x:v>45953</x:v>
      </x:c>
      <x:c r="C429" s="25" t="str">
        <x:v>Mansoura</x:v>
      </x:c>
      <x:c r="D429" s="25" t="str">
        <x:v>Talkha</x:v>
      </x:c>
      <x:c r="E429" s="25" t="str">
        <x:v>Ali Sayed</x:v>
      </x:c>
      <x:c r="F429" s="25" t="str">
        <x:v>Mariam Ibrahim</x:v>
      </x:c>
      <x:c r="G429" s="25" t="str">
        <x:v>Consumer</x:v>
      </x:c>
      <x:c r="H429" s="25" t="str">
        <x:v>Website</x:v>
      </x:c>
      <x:c r="I429" s="25" t="str">
        <x:v>Home Appliances</x:v>
      </x:c>
      <x:c r="J429" s="25" t="str">
        <x:v>Microwave</x:v>
      </x:c>
      <x:c r="K429" s="25" t="n">
        <x:v>4</x:v>
      </x:c>
      <x:c r="L429" s="26" t="n">
        <x:v>5345</x:v>
      </x:c>
      <x:c r="M429" s="27" t="n">
        <x:v>0.1</x:v>
      </x:c>
      <x:c r="N429" s="26" t="n">
        <x:f>K429*L429</x:f>
        <x:v>21380</x:v>
      </x:c>
      <x:c r="O429" s="26" t="n">
        <x:f>N429*(1-M429)</x:f>
        <x:v>19242</x:v>
      </x:c>
      <x:c r="P429" s="26" t="n">
        <x:v>4532</x:v>
      </x:c>
      <x:c r="Q429" s="26" t="n">
        <x:f>K429*P429</x:f>
        <x:v>18128</x:v>
      </x:c>
      <x:c r="R429" s="26" t="n">
        <x:f>O429-Q429</x:f>
        <x:v>1114</x:v>
      </x:c>
      <x:c r="S429" s="28" t="n">
        <x:f>IF(O429=0,0,R429/O429)</x:f>
        <x:v>0.05789418979316079</x:v>
      </x:c>
      <x:c r="T429" s="25" t="str">
        <x:v>Bank Transfer</x:v>
      </x:c>
      <x:c r="U429" s="25" t="str">
        <x:v>Completed</x:v>
      </x:c>
      <x:c r="V429" s="29" t="n">
        <x:v>3</x:v>
      </x:c>
    </x:row>
    <x:row r="430">
      <x:c r="A430" s="23" t="str">
        <x:v>MAN-2025-00429</x:v>
      </x:c>
      <x:c r="B430" s="24" t="n">
        <x:v>45806</x:v>
      </x:c>
      <x:c r="C430" s="25" t="str">
        <x:v>Mansoura</x:v>
      </x:c>
      <x:c r="D430" s="25" t="str">
        <x:v>Mit Ghamr</x:v>
      </x:c>
      <x:c r="E430" s="25" t="str">
        <x:v>Youssef Fathy</x:v>
      </x:c>
      <x:c r="F430" s="25" t="str">
        <x:v>Hana Fathy</x:v>
      </x:c>
      <x:c r="G430" s="25" t="str">
        <x:v>Consumer</x:v>
      </x:c>
      <x:c r="H430" s="25" t="str">
        <x:v>Phone Order</x:v>
      </x:c>
      <x:c r="I430" s="25" t="str">
        <x:v>Electronics</x:v>
      </x:c>
      <x:c r="J430" s="25" t="str">
        <x:v>Headphones</x:v>
      </x:c>
      <x:c r="K430" s="25" t="n">
        <x:v>5</x:v>
      </x:c>
      <x:c r="L430" s="26" t="n">
        <x:v>1596</x:v>
      </x:c>
      <x:c r="M430" s="27" t="n">
        <x:v>0.05</x:v>
      </x:c>
      <x:c r="N430" s="26" t="n">
        <x:f>K430*L430</x:f>
        <x:v>7980</x:v>
      </x:c>
      <x:c r="O430" s="26" t="n">
        <x:f>N430*(1-M430)</x:f>
        <x:v>7581</x:v>
      </x:c>
      <x:c r="P430" s="26" t="n">
        <x:v>1114</x:v>
      </x:c>
      <x:c r="Q430" s="26" t="n">
        <x:f>K430*P430</x:f>
        <x:v>5570</x:v>
      </x:c>
      <x:c r="R430" s="26" t="n">
        <x:f>O430-Q430</x:f>
        <x:v>2011</x:v>
      </x:c>
      <x:c r="S430" s="28" t="n">
        <x:f>IF(O430=0,0,R430/O430)</x:f>
        <x:v>0.2652684342435035</x:v>
      </x:c>
      <x:c r="T430" s="25" t="str">
        <x:v>Digital Wallet</x:v>
      </x:c>
      <x:c r="U430" s="25" t="str">
        <x:v>Cancelled</x:v>
      </x:c>
      <x:c r="V430" s="29" t="n">
        <x:v>5</x:v>
      </x:c>
    </x:row>
    <x:row r="431">
      <x:c r="A431" s="23" t="str">
        <x:v>MAN-2025-00430</x:v>
      </x:c>
      <x:c r="B431" s="24" t="n">
        <x:v>45811</x:v>
      </x:c>
      <x:c r="C431" s="25" t="str">
        <x:v>Mansoura</x:v>
      </x:c>
      <x:c r="D431" s="25" t="str">
        <x:v>Aga</x:v>
      </x:c>
      <x:c r="E431" s="25" t="str">
        <x:v>Ali Sayed</x:v>
      </x:c>
      <x:c r="F431" s="25" t="str">
        <x:v>Mostafa Tarek</x:v>
      </x:c>
      <x:c r="G431" s="25" t="str">
        <x:v>Small Business</x:v>
      </x:c>
      <x:c r="H431" s="25" t="str">
        <x:v>Retail Store</x:v>
      </x:c>
      <x:c r="I431" s="25" t="str">
        <x:v>Furniture</x:v>
      </x:c>
      <x:c r="J431" s="25" t="str">
        <x:v>Office Chair</x:v>
      </x:c>
      <x:c r="K431" s="25" t="n">
        <x:v>2</x:v>
      </x:c>
      <x:c r="L431" s="26" t="n">
        <x:v>4015</x:v>
      </x:c>
      <x:c r="M431" s="27" t="n">
        <x:v>0</x:v>
      </x:c>
      <x:c r="N431" s="26" t="n">
        <x:f>K431*L431</x:f>
        <x:v>8030</x:v>
      </x:c>
      <x:c r="O431" s="26" t="n">
        <x:f>N431*(1-M431)</x:f>
        <x:v>8030</x:v>
      </x:c>
      <x:c r="P431" s="26" t="n">
        <x:v>2907</x:v>
      </x:c>
      <x:c r="Q431" s="26" t="n">
        <x:f>K431*P431</x:f>
        <x:v>5814</x:v>
      </x:c>
      <x:c r="R431" s="26" t="n">
        <x:f>O431-Q431</x:f>
        <x:v>2216</x:v>
      </x:c>
      <x:c r="S431" s="28" t="n">
        <x:f>IF(O431=0,0,R431/O431)</x:f>
        <x:v>0.2759651307596513</x:v>
      </x:c>
      <x:c r="T431" s="25" t="str">
        <x:v>Credit Card</x:v>
      </x:c>
      <x:c r="U431" s="25" t="str">
        <x:v>Completed</x:v>
      </x:c>
      <x:c r="V431" s="29" t="n">
        <x:v>3</x:v>
      </x:c>
    </x:row>
    <x:row r="432">
      <x:c r="A432" s="23" t="str">
        <x:v>MAN-2025-00431</x:v>
      </x:c>
      <x:c r="B432" s="24" t="n">
        <x:v>45936</x:v>
      </x:c>
      <x:c r="C432" s="25" t="str">
        <x:v>Mansoura</x:v>
      </x:c>
      <x:c r="D432" s="25" t="str">
        <x:v>Mansoura City</x:v>
      </x:c>
      <x:c r="E432" s="25" t="str">
        <x:v>Salma Mansour</x:v>
      </x:c>
      <x:c r="F432" s="25" t="str">
        <x:v>Karim Tarek</x:v>
      </x:c>
      <x:c r="G432" s="25" t="str">
        <x:v>Corporate</x:v>
      </x:c>
      <x:c r="H432" s="25" t="str">
        <x:v>Retail Store</x:v>
      </x:c>
      <x:c r="I432" s="25" t="str">
        <x:v>Office Supplies</x:v>
      </x:c>
      <x:c r="J432" s="25" t="str">
        <x:v>Ink Cartridge</x:v>
      </x:c>
      <x:c r="K432" s="25" t="n">
        <x:v>6</x:v>
      </x:c>
      <x:c r="L432" s="26" t="n">
        <x:v>893</x:v>
      </x:c>
      <x:c r="M432" s="27" t="n">
        <x:v>0.05</x:v>
      </x:c>
      <x:c r="N432" s="26" t="n">
        <x:f>K432*L432</x:f>
        <x:v>5358</x:v>
      </x:c>
      <x:c r="O432" s="26" t="n">
        <x:f>N432*(1-M432)</x:f>
        <x:v>5090.099999999999</x:v>
      </x:c>
      <x:c r="P432" s="26" t="n">
        <x:v>571</x:v>
      </x:c>
      <x:c r="Q432" s="26" t="n">
        <x:f>K432*P432</x:f>
        <x:v>3426</x:v>
      </x:c>
      <x:c r="R432" s="26" t="n">
        <x:f>O432-Q432</x:f>
        <x:v>1664.0999999999995</x:v>
      </x:c>
      <x:c r="S432" s="28" t="n">
        <x:f>IF(O432=0,0,R432/O432)</x:f>
        <x:v>0.3269287440325337</x:v>
      </x:c>
      <x:c r="T432" s="25" t="str">
        <x:v>Digital Wallet</x:v>
      </x:c>
      <x:c r="U432" s="25" t="str">
        <x:v>Completed</x:v>
      </x:c>
      <x:c r="V432" s="29" t="n">
        <x:v>5</x:v>
      </x:c>
    </x:row>
    <x:row r="433">
      <x:c r="A433" s="23" t="str">
        <x:v>MAN-2025-00432</x:v>
      </x:c>
      <x:c r="B433" s="24" t="n">
        <x:v>45675</x:v>
      </x:c>
      <x:c r="C433" s="25" t="str">
        <x:v>Mansoura</x:v>
      </x:c>
      <x:c r="D433" s="25" t="str">
        <x:v>Mansoura City</x:v>
      </x:c>
      <x:c r="E433" s="25" t="str">
        <x:v>Aya Farouk</x:v>
      </x:c>
      <x:c r="F433" s="25" t="str">
        <x:v>Ahmed Adel</x:v>
      </x:c>
      <x:c r="G433" s="25" t="str">
        <x:v>Consumer</x:v>
      </x:c>
      <x:c r="H433" s="25" t="str">
        <x:v>Retail Store</x:v>
      </x:c>
      <x:c r="I433" s="25" t="str">
        <x:v>Electronics</x:v>
      </x:c>
      <x:c r="J433" s="25" t="str">
        <x:v>Smartphone</x:v>
      </x:c>
      <x:c r="K433" s="25" t="n">
        <x:v>6</x:v>
      </x:c>
      <x:c r="L433" s="26" t="n">
        <x:v>13402</x:v>
      </x:c>
      <x:c r="M433" s="27" t="n">
        <x:v>0.15</x:v>
      </x:c>
      <x:c r="N433" s="26" t="n">
        <x:f>K433*L433</x:f>
        <x:v>80412</x:v>
      </x:c>
      <x:c r="O433" s="26" t="n">
        <x:f>N433*(1-M433)</x:f>
        <x:v>68350.2</x:v>
      </x:c>
      <x:c r="P433" s="26" t="n">
        <x:v>10587</x:v>
      </x:c>
      <x:c r="Q433" s="26" t="n">
        <x:f>K433*P433</x:f>
        <x:v>63522</x:v>
      </x:c>
      <x:c r="R433" s="26" t="n">
        <x:f>O433-Q433</x:f>
        <x:v>4828.199999999997</x:v>
      </x:c>
      <x:c r="S433" s="28" t="n">
        <x:f>IF(O433=0,0,R433/O433)</x:f>
        <x:v>0.07063914955625583</x:v>
      </x:c>
      <x:c r="T433" s="25" t="str">
        <x:v>Bank Transfer</x:v>
      </x:c>
      <x:c r="U433" s="25" t="str">
        <x:v>Returned</x:v>
      </x:c>
      <x:c r="V433" s="29" t="n">
        <x:v>4</x:v>
      </x:c>
    </x:row>
    <x:row r="434">
      <x:c r="A434" s="23" t="str">
        <x:v>MAN-2025-00433</x:v>
      </x:c>
      <x:c r="B434" s="24" t="n">
        <x:v>45862</x:v>
      </x:c>
      <x:c r="C434" s="25" t="str">
        <x:v>Mansoura</x:v>
      </x:c>
      <x:c r="D434" s="25" t="str">
        <x:v>Talkha</x:v>
      </x:c>
      <x:c r="E434" s="25" t="str">
        <x:v>Salma Mansour</x:v>
      </x:c>
      <x:c r="F434" s="25" t="str">
        <x:v>Farah Farouk</x:v>
      </x:c>
      <x:c r="G434" s="25" t="str">
        <x:v>Consumer</x:v>
      </x:c>
      <x:c r="H434" s="25" t="str">
        <x:v>Phone Order</x:v>
      </x:c>
      <x:c r="I434" s="25" t="str">
        <x:v>Furniture</x:v>
      </x:c>
      <x:c r="J434" s="25" t="str">
        <x:v>Sofa</x:v>
      </x:c>
      <x:c r="K434" s="25" t="n">
        <x:v>3</x:v>
      </x:c>
      <x:c r="L434" s="26" t="n">
        <x:v>13889</x:v>
      </x:c>
      <x:c r="M434" s="27" t="n">
        <x:v>0</x:v>
      </x:c>
      <x:c r="N434" s="26" t="n">
        <x:f>K434*L434</x:f>
        <x:v>41667</x:v>
      </x:c>
      <x:c r="O434" s="26" t="n">
        <x:f>N434*(1-M434)</x:f>
        <x:v>41667</x:v>
      </x:c>
      <x:c r="P434" s="26" t="n">
        <x:v>11152</x:v>
      </x:c>
      <x:c r="Q434" s="26" t="n">
        <x:f>K434*P434</x:f>
        <x:v>33456</x:v>
      </x:c>
      <x:c r="R434" s="26" t="n">
        <x:f>O434-Q434</x:f>
        <x:v>8211</x:v>
      </x:c>
      <x:c r="S434" s="28" t="n">
        <x:f>IF(O434=0,0,R434/O434)</x:f>
        <x:v>0.19706242350061198</x:v>
      </x:c>
      <x:c r="T434" s="25" t="str">
        <x:v>Debit Card</x:v>
      </x:c>
      <x:c r="U434" s="25" t="str">
        <x:v>Completed</x:v>
      </x:c>
      <x:c r="V434" s="29" t="n">
        <x:v>5</x:v>
      </x:c>
    </x:row>
    <x:row r="435">
      <x:c r="A435" s="23" t="str">
        <x:v>MAN-2025-00434</x:v>
      </x:c>
      <x:c r="B435" s="24" t="n">
        <x:v>45747</x:v>
      </x:c>
      <x:c r="C435" s="25" t="str">
        <x:v>Mansoura</x:v>
      </x:c>
      <x:c r="D435" s="25" t="str">
        <x:v>Mit Ghamr</x:v>
      </x:c>
      <x:c r="E435" s="25" t="str">
        <x:v>Aya Farouk</x:v>
      </x:c>
      <x:c r="F435" s="25" t="str">
        <x:v>Ahmed Sayed</x:v>
      </x:c>
      <x:c r="G435" s="25" t="str">
        <x:v>Small Business</x:v>
      </x:c>
      <x:c r="H435" s="25" t="str">
        <x:v>Mobile App</x:v>
      </x:c>
      <x:c r="I435" s="25" t="str">
        <x:v>Office Supplies</x:v>
      </x:c>
      <x:c r="J435" s="25" t="str">
        <x:v>Calculator</x:v>
      </x:c>
      <x:c r="K435" s="25" t="n">
        <x:v>4</x:v>
      </x:c>
      <x:c r="L435" s="26" t="n">
        <x:v>448</x:v>
      </x:c>
      <x:c r="M435" s="27" t="n">
        <x:v>0.15</x:v>
      </x:c>
      <x:c r="N435" s="26" t="n">
        <x:f>K435*L435</x:f>
        <x:v>1792</x:v>
      </x:c>
      <x:c r="O435" s="26" t="n">
        <x:f>N435*(1-M435)</x:f>
        <x:v>1523.2</x:v>
      </x:c>
      <x:c r="P435" s="26" t="n">
        <x:v>278</x:v>
      </x:c>
      <x:c r="Q435" s="26" t="n">
        <x:f>K435*P435</x:f>
        <x:v>1112</x:v>
      </x:c>
      <x:c r="R435" s="26" t="n">
        <x:f>O435-Q435</x:f>
        <x:v>411.20000000000005</x:v>
      </x:c>
      <x:c r="S435" s="28" t="n">
        <x:f>IF(O435=0,0,R435/O435)</x:f>
        <x:v>0.26995798319327735</x:v>
      </x:c>
      <x:c r="T435" s="25" t="str">
        <x:v>Credit Card</x:v>
      </x:c>
      <x:c r="U435" s="25" t="str">
        <x:v>Completed</x:v>
      </x:c>
      <x:c r="V435" s="29" t="n">
        <x:v>4</x:v>
      </x:c>
    </x:row>
    <x:row r="436">
      <x:c r="A436" s="23" t="str">
        <x:v>MAN-2025-00435</x:v>
      </x:c>
      <x:c r="B436" s="24" t="n">
        <x:v>45886</x:v>
      </x:c>
      <x:c r="C436" s="25" t="str">
        <x:v>Mansoura</x:v>
      </x:c>
      <x:c r="D436" s="25" t="str">
        <x:v>Sherbin</x:v>
      </x:c>
      <x:c r="E436" s="25" t="str">
        <x:v>Salma Mansour</x:v>
      </x:c>
      <x:c r="F436" s="25" t="str">
        <x:v>Farah Hassan</x:v>
      </x:c>
      <x:c r="G436" s="25" t="str">
        <x:v>Consumer</x:v>
      </x:c>
      <x:c r="H436" s="25" t="str">
        <x:v>Retail Store</x:v>
      </x:c>
      <x:c r="I436" s="25" t="str">
        <x:v>Electronics</x:v>
      </x:c>
      <x:c r="J436" s="25" t="str">
        <x:v>Laptop</x:v>
      </x:c>
      <x:c r="K436" s="25" t="n">
        <x:v>4</x:v>
      </x:c>
      <x:c r="L436" s="26" t="n">
        <x:v>25399</x:v>
      </x:c>
      <x:c r="M436" s="27" t="n">
        <x:v>0.1</x:v>
      </x:c>
      <x:c r="N436" s="26" t="n">
        <x:f>K436*L436</x:f>
        <x:v>101596</x:v>
      </x:c>
      <x:c r="O436" s="26" t="n">
        <x:f>N436*(1-M436)</x:f>
        <x:v>91436.40000000001</x:v>
      </x:c>
      <x:c r="P436" s="26" t="n">
        <x:v>21849</x:v>
      </x:c>
      <x:c r="Q436" s="26" t="n">
        <x:f>K436*P436</x:f>
        <x:v>87396</x:v>
      </x:c>
      <x:c r="R436" s="26" t="n">
        <x:f>O436-Q436</x:f>
        <x:v>4040.4000000000087</x:v>
      </x:c>
      <x:c r="S436" s="28" t="n">
        <x:f>IF(O436=0,0,R436/O436)</x:f>
        <x:v>0.044188091394674424</x:v>
      </x:c>
      <x:c r="T436" s="25" t="str">
        <x:v>Bank Transfer</x:v>
      </x:c>
      <x:c r="U436" s="25" t="str">
        <x:v>Completed</x:v>
      </x:c>
      <x:c r="V436" s="29" t="n">
        <x:v>3</x:v>
      </x:c>
    </x:row>
    <x:row r="437">
      <x:c r="A437" s="23" t="str">
        <x:v>MAN-2025-00436</x:v>
      </x:c>
      <x:c r="B437" s="24" t="n">
        <x:v>45950</x:v>
      </x:c>
      <x:c r="C437" s="25" t="str">
        <x:v>Mansoura</x:v>
      </x:c>
      <x:c r="D437" s="25" t="str">
        <x:v>Sherbin</x:v>
      </x:c>
      <x:c r="E437" s="25" t="str">
        <x:v>Salma Mansour</x:v>
      </x:c>
      <x:c r="F437" s="25" t="str">
        <x:v>Sara Adel</x:v>
      </x:c>
      <x:c r="G437" s="25" t="str">
        <x:v>Consumer</x:v>
      </x:c>
      <x:c r="H437" s="25" t="str">
        <x:v>Phone Order</x:v>
      </x:c>
      <x:c r="I437" s="25" t="str">
        <x:v>Furniture</x:v>
      </x:c>
      <x:c r="J437" s="25" t="str">
        <x:v>Bookshelf</x:v>
      </x:c>
      <x:c r="K437" s="25" t="n">
        <x:v>2</x:v>
      </x:c>
      <x:c r="L437" s="26" t="n">
        <x:v>3137</x:v>
      </x:c>
      <x:c r="M437" s="27" t="n">
        <x:v>0</x:v>
      </x:c>
      <x:c r="N437" s="26" t="n">
        <x:f>K437*L437</x:f>
        <x:v>6274</x:v>
      </x:c>
      <x:c r="O437" s="26" t="n">
        <x:f>N437*(1-M437)</x:f>
        <x:v>6274</x:v>
      </x:c>
      <x:c r="P437" s="26" t="n">
        <x:v>2248</x:v>
      </x:c>
      <x:c r="Q437" s="26" t="n">
        <x:f>K437*P437</x:f>
        <x:v>4496</x:v>
      </x:c>
      <x:c r="R437" s="26" t="n">
        <x:f>O437-Q437</x:f>
        <x:v>1778</x:v>
      </x:c>
      <x:c r="S437" s="28" t="n">
        <x:f>IF(O437=0,0,R437/O437)</x:f>
        <x:v>0.28339177558176604</x:v>
      </x:c>
      <x:c r="T437" s="25" t="str">
        <x:v>Cash</x:v>
      </x:c>
      <x:c r="U437" s="25" t="str">
        <x:v>Completed</x:v>
      </x:c>
      <x:c r="V437" s="29" t="n">
        <x:v>5</x:v>
      </x:c>
    </x:row>
    <x:row r="438">
      <x:c r="A438" s="23" t="str">
        <x:v>MAN-2025-00437</x:v>
      </x:c>
      <x:c r="B438" s="24" t="n">
        <x:v>45760</x:v>
      </x:c>
      <x:c r="C438" s="25" t="str">
        <x:v>Mansoura</x:v>
      </x:c>
      <x:c r="D438" s="25" t="str">
        <x:v>Mansoura City</x:v>
      </x:c>
      <x:c r="E438" s="25" t="str">
        <x:v>Salma Mansour</x:v>
      </x:c>
      <x:c r="F438" s="25" t="str">
        <x:v>Ali Fathy</x:v>
      </x:c>
      <x:c r="G438" s="25" t="str">
        <x:v>Consumer</x:v>
      </x:c>
      <x:c r="H438" s="25" t="str">
        <x:v>Website</x:v>
      </x:c>
      <x:c r="I438" s="25" t="str">
        <x:v>Furniture</x:v>
      </x:c>
      <x:c r="J438" s="25" t="str">
        <x:v>Bookshelf</x:v>
      </x:c>
      <x:c r="K438" s="25" t="n">
        <x:v>1</x:v>
      </x:c>
      <x:c r="L438" s="26" t="n">
        <x:v>2845</x:v>
      </x:c>
      <x:c r="M438" s="27" t="n">
        <x:v>0.1</x:v>
      </x:c>
      <x:c r="N438" s="26" t="n">
        <x:f>K438*L438</x:f>
        <x:v>2845</x:v>
      </x:c>
      <x:c r="O438" s="26" t="n">
        <x:f>N438*(1-M438)</x:f>
        <x:v>2560.5</x:v>
      </x:c>
      <x:c r="P438" s="26" t="n">
        <x:v>2154</x:v>
      </x:c>
      <x:c r="Q438" s="26" t="n">
        <x:f>K438*P438</x:f>
        <x:v>2154</x:v>
      </x:c>
      <x:c r="R438" s="26" t="n">
        <x:f>O438-Q438</x:f>
        <x:v>406.5</x:v>
      </x:c>
      <x:c r="S438" s="28" t="n">
        <x:f>IF(O438=0,0,R438/O438)</x:f>
        <x:v>0.15875805506736965</x:v>
      </x:c>
      <x:c r="T438" s="25" t="str">
        <x:v>Debit Card</x:v>
      </x:c>
      <x:c r="U438" s="25" t="str">
        <x:v>Cancelled</x:v>
      </x:c>
      <x:c r="V438" s="29" t="n">
        <x:v>3</x:v>
      </x:c>
    </x:row>
    <x:row r="439">
      <x:c r="A439" s="23" t="str">
        <x:v>MAN-2025-00438</x:v>
      </x:c>
      <x:c r="B439" s="24" t="n">
        <x:v>45781</x:v>
      </x:c>
      <x:c r="C439" s="25" t="str">
        <x:v>Mansoura</x:v>
      </x:c>
      <x:c r="D439" s="25" t="str">
        <x:v>Mit Ghamr</x:v>
      </x:c>
      <x:c r="E439" s="25" t="str">
        <x:v>Ali Sayed</x:v>
      </x:c>
      <x:c r="F439" s="25" t="str">
        <x:v>Mariam Nasser</x:v>
      </x:c>
      <x:c r="G439" s="25" t="str">
        <x:v>Consumer</x:v>
      </x:c>
      <x:c r="H439" s="25" t="str">
        <x:v>Mobile App</x:v>
      </x:c>
      <x:c r="I439" s="25" t="str">
        <x:v>Office Supplies</x:v>
      </x:c>
      <x:c r="J439" s="25" t="str">
        <x:v>Paper Box</x:v>
      </x:c>
      <x:c r="K439" s="25" t="n">
        <x:v>1</x:v>
      </x:c>
      <x:c r="L439" s="26" t="n">
        <x:v>379</x:v>
      </x:c>
      <x:c r="M439" s="27" t="n">
        <x:v>0</x:v>
      </x:c>
      <x:c r="N439" s="26" t="n">
        <x:f>K439*L439</x:f>
        <x:v>379</x:v>
      </x:c>
      <x:c r="O439" s="26" t="n">
        <x:f>N439*(1-M439)</x:f>
        <x:v>379</x:v>
      </x:c>
      <x:c r="P439" s="26" t="n">
        <x:v>269</x:v>
      </x:c>
      <x:c r="Q439" s="26" t="n">
        <x:f>K439*P439</x:f>
        <x:v>269</x:v>
      </x:c>
      <x:c r="R439" s="26" t="n">
        <x:f>O439-Q439</x:f>
        <x:v>110</x:v>
      </x:c>
      <x:c r="S439" s="28" t="n">
        <x:f>IF(O439=0,0,R439/O439)</x:f>
        <x:v>0.29023746701846964</x:v>
      </x:c>
      <x:c r="T439" s="25" t="str">
        <x:v>Bank Transfer</x:v>
      </x:c>
      <x:c r="U439" s="25" t="str">
        <x:v>Completed</x:v>
      </x:c>
      <x:c r="V439" s="29" t="n">
        <x:v>5</x:v>
      </x:c>
    </x:row>
    <x:row r="440">
      <x:c r="A440" s="23" t="str">
        <x:v>MAN-2025-00439</x:v>
      </x:c>
      <x:c r="B440" s="24" t="n">
        <x:v>45706</x:v>
      </x:c>
      <x:c r="C440" s="25" t="str">
        <x:v>Mansoura</x:v>
      </x:c>
      <x:c r="D440" s="25" t="str">
        <x:v>Mansoura City</x:v>
      </x:c>
      <x:c r="E440" s="25" t="str">
        <x:v>Aya Farouk</x:v>
      </x:c>
      <x:c r="F440" s="25" t="str">
        <x:v>Ahmed Hassan</x:v>
      </x:c>
      <x:c r="G440" s="25" t="str">
        <x:v>Consumer</x:v>
      </x:c>
      <x:c r="H440" s="25" t="str">
        <x:v>Retail Store</x:v>
      </x:c>
      <x:c r="I440" s="25" t="str">
        <x:v>Furniture</x:v>
      </x:c>
      <x:c r="J440" s="25" t="str">
        <x:v>Office Chair</x:v>
      </x:c>
      <x:c r="K440" s="25" t="n">
        <x:v>1</x:v>
      </x:c>
      <x:c r="L440" s="26" t="n">
        <x:v>3708</x:v>
      </x:c>
      <x:c r="M440" s="27" t="n">
        <x:v>0.1</x:v>
      </x:c>
      <x:c r="N440" s="26" t="n">
        <x:f>K440*L440</x:f>
        <x:v>3708</x:v>
      </x:c>
      <x:c r="O440" s="26" t="n">
        <x:f>N440*(1-M440)</x:f>
        <x:v>3337.2000000000003</x:v>
      </x:c>
      <x:c r="P440" s="26" t="n">
        <x:v>2815</x:v>
      </x:c>
      <x:c r="Q440" s="26" t="n">
        <x:f>K440*P440</x:f>
        <x:v>2815</x:v>
      </x:c>
      <x:c r="R440" s="26" t="n">
        <x:f>O440-Q440</x:f>
        <x:v>522.2000000000003</x:v>
      </x:c>
      <x:c r="S440" s="28" t="n">
        <x:f>IF(O440=0,0,R440/O440)</x:f>
        <x:v>0.15647848495744943</x:v>
      </x:c>
      <x:c r="T440" s="25" t="str">
        <x:v>Debit Card</x:v>
      </x:c>
      <x:c r="U440" s="25" t="str">
        <x:v>Completed</x:v>
      </x:c>
      <x:c r="V440" s="29" t="n">
        <x:v>3</x:v>
      </x:c>
    </x:row>
    <x:row r="441">
      <x:c r="A441" s="23" t="str">
        <x:v>MAN-2025-00440</x:v>
      </x:c>
      <x:c r="B441" s="24" t="n">
        <x:v>45773</x:v>
      </x:c>
      <x:c r="C441" s="25" t="str">
        <x:v>Mansoura</x:v>
      </x:c>
      <x:c r="D441" s="25" t="str">
        <x:v>Aga</x:v>
      </x:c>
      <x:c r="E441" s="25" t="str">
        <x:v>Ali Sayed</x:v>
      </x:c>
      <x:c r="F441" s="25" t="str">
        <x:v>Sara Khalil</x:v>
      </x:c>
      <x:c r="G441" s="25" t="str">
        <x:v>Corporate</x:v>
      </x:c>
      <x:c r="H441" s="25" t="str">
        <x:v>Retail Store</x:v>
      </x:c>
      <x:c r="I441" s="25" t="str">
        <x:v>Home Appliances</x:v>
      </x:c>
      <x:c r="J441" s="25" t="str">
        <x:v>Washing Machine</x:v>
      </x:c>
      <x:c r="K441" s="25" t="n">
        <x:v>2</x:v>
      </x:c>
      <x:c r="L441" s="26" t="n">
        <x:v>16846</x:v>
      </x:c>
      <x:c r="M441" s="27" t="n">
        <x:v>0</x:v>
      </x:c>
      <x:c r="N441" s="26" t="n">
        <x:f>K441*L441</x:f>
        <x:v>33692</x:v>
      </x:c>
      <x:c r="O441" s="26" t="n">
        <x:f>N441*(1-M441)</x:f>
        <x:v>33692</x:v>
      </x:c>
      <x:c r="P441" s="26" t="n">
        <x:v>14001</x:v>
      </x:c>
      <x:c r="Q441" s="26" t="n">
        <x:f>K441*P441</x:f>
        <x:v>28002</x:v>
      </x:c>
      <x:c r="R441" s="26" t="n">
        <x:f>O441-Q441</x:f>
        <x:v>5690</x:v>
      </x:c>
      <x:c r="S441" s="28" t="n">
        <x:f>IF(O441=0,0,R441/O441)</x:f>
        <x:v>0.16888282084767897</x:v>
      </x:c>
      <x:c r="T441" s="25" t="str">
        <x:v>Credit Card</x:v>
      </x:c>
      <x:c r="U441" s="25" t="str">
        <x:v>Cancelled</x:v>
      </x:c>
      <x:c r="V441" s="29" t="n">
        <x:v>5</x:v>
      </x:c>
    </x:row>
    <x:row r="442">
      <x:c r="A442" s="23" t="str">
        <x:v>MAN-2025-00441</x:v>
      </x:c>
      <x:c r="B442" s="24" t="n">
        <x:v>45939</x:v>
      </x:c>
      <x:c r="C442" s="25" t="str">
        <x:v>Mansoura</x:v>
      </x:c>
      <x:c r="D442" s="25" t="str">
        <x:v>Mansoura City</x:v>
      </x:c>
      <x:c r="E442" s="25" t="str">
        <x:v>Ali Sayed</x:v>
      </x:c>
      <x:c r="F442" s="25" t="str">
        <x:v>Mariam Samir</x:v>
      </x:c>
      <x:c r="G442" s="25" t="str">
        <x:v>Consumer</x:v>
      </x:c>
      <x:c r="H442" s="25" t="str">
        <x:v>Website</x:v>
      </x:c>
      <x:c r="I442" s="25" t="str">
        <x:v>Furniture</x:v>
      </x:c>
      <x:c r="J442" s="25" t="str">
        <x:v>Bookshelf</x:v>
      </x:c>
      <x:c r="K442" s="25" t="n">
        <x:v>1</x:v>
      </x:c>
      <x:c r="L442" s="26" t="n">
        <x:v>3188</x:v>
      </x:c>
      <x:c r="M442" s="27" t="n">
        <x:v>0.05</x:v>
      </x:c>
      <x:c r="N442" s="26" t="n">
        <x:f>K442*L442</x:f>
        <x:v>3188</x:v>
      </x:c>
      <x:c r="O442" s="26" t="n">
        <x:f>N442*(1-M442)</x:f>
        <x:v>3028.6</x:v>
      </x:c>
      <x:c r="P442" s="26" t="n">
        <x:v>2219</x:v>
      </x:c>
      <x:c r="Q442" s="26" t="n">
        <x:f>K442*P442</x:f>
        <x:v>2219</x:v>
      </x:c>
      <x:c r="R442" s="26" t="n">
        <x:f>O442-Q442</x:f>
        <x:v>809.5999999999999</x:v>
      </x:c>
      <x:c r="S442" s="28" t="n">
        <x:f>IF(O442=0,0,R442/O442)</x:f>
        <x:v>0.2673182328468599</x:v>
      </x:c>
      <x:c r="T442" s="25" t="str">
        <x:v>Digital Wallet</x:v>
      </x:c>
      <x:c r="U442" s="25" t="str">
        <x:v>Completed</x:v>
      </x:c>
      <x:c r="V442" s="29" t="n">
        <x:v>4</x:v>
      </x:c>
    </x:row>
    <x:row r="443">
      <x:c r="A443" s="23" t="str">
        <x:v>MAN-2025-00442</x:v>
      </x:c>
      <x:c r="B443" s="24" t="n">
        <x:v>45987</x:v>
      </x:c>
      <x:c r="C443" s="25" t="str">
        <x:v>Mansoura</x:v>
      </x:c>
      <x:c r="D443" s="25" t="str">
        <x:v>Talkha</x:v>
      </x:c>
      <x:c r="E443" s="25" t="str">
        <x:v>Aya Farouk</x:v>
      </x:c>
      <x:c r="F443" s="25" t="str">
        <x:v>Mahmoud Samir</x:v>
      </x:c>
      <x:c r="G443" s="25" t="str">
        <x:v>Small Business</x:v>
      </x:c>
      <x:c r="H443" s="25" t="str">
        <x:v>Phone Order</x:v>
      </x:c>
      <x:c r="I443" s="25" t="str">
        <x:v>Electronics</x:v>
      </x:c>
      <x:c r="J443" s="25" t="str">
        <x:v>Tablet</x:v>
      </x:c>
      <x:c r="K443" s="25" t="n">
        <x:v>1</x:v>
      </x:c>
      <x:c r="L443" s="26" t="n">
        <x:v>9407</x:v>
      </x:c>
      <x:c r="M443" s="27" t="n">
        <x:v>0.15</x:v>
      </x:c>
      <x:c r="N443" s="26" t="n">
        <x:f>K443*L443</x:f>
        <x:v>9407</x:v>
      </x:c>
      <x:c r="O443" s="26" t="n">
        <x:f>N443*(1-M443)</x:f>
        <x:v>7995.95</x:v>
      </x:c>
      <x:c r="P443" s="26" t="n">
        <x:v>7176</x:v>
      </x:c>
      <x:c r="Q443" s="26" t="n">
        <x:f>K443*P443</x:f>
        <x:v>7176</x:v>
      </x:c>
      <x:c r="R443" s="26" t="n">
        <x:f>O443-Q443</x:f>
        <x:v>819.9499999999998</x:v>
      </x:c>
      <x:c r="S443" s="28" t="n">
        <x:f>IF(O443=0,0,R443/O443)</x:f>
        <x:v>0.1025456637422695</x:v>
      </x:c>
      <x:c r="T443" s="25" t="str">
        <x:v>Digital Wallet</x:v>
      </x:c>
      <x:c r="U443" s="25" t="str">
        <x:v>Returned</x:v>
      </x:c>
      <x:c r="V443" s="29" t="n">
        <x:v>5</x:v>
      </x:c>
    </x:row>
    <x:row r="444">
      <x:c r="A444" s="23" t="str">
        <x:v>MAN-2025-00443</x:v>
      </x:c>
      <x:c r="B444" s="24" t="n">
        <x:v>45872</x:v>
      </x:c>
      <x:c r="C444" s="25" t="str">
        <x:v>Mansoura</x:v>
      </x:c>
      <x:c r="D444" s="25" t="str">
        <x:v>Mansoura City</x:v>
      </x:c>
      <x:c r="E444" s="25" t="str">
        <x:v>Youssef Fathy</x:v>
      </x:c>
      <x:c r="F444" s="25" t="str">
        <x:v>Mahmoud Adel</x:v>
      </x:c>
      <x:c r="G444" s="25" t="str">
        <x:v>Small Business</x:v>
      </x:c>
      <x:c r="H444" s="25" t="str">
        <x:v>Website</x:v>
      </x:c>
      <x:c r="I444" s="25" t="str">
        <x:v>Electronics</x:v>
      </x:c>
      <x:c r="J444" s="25" t="str">
        <x:v>Smartphone</x:v>
      </x:c>
      <x:c r="K444" s="25" t="n">
        <x:v>3</x:v>
      </x:c>
      <x:c r="L444" s="26" t="n">
        <x:v>13593</x:v>
      </x:c>
      <x:c r="M444" s="27" t="n">
        <x:v>0.15</x:v>
      </x:c>
      <x:c r="N444" s="26" t="n">
        <x:f>K444*L444</x:f>
        <x:v>40779</x:v>
      </x:c>
      <x:c r="O444" s="26" t="n">
        <x:f>N444*(1-M444)</x:f>
        <x:v>34662.15</x:v>
      </x:c>
      <x:c r="P444" s="26" t="n">
        <x:v>10751</x:v>
      </x:c>
      <x:c r="Q444" s="26" t="n">
        <x:f>K444*P444</x:f>
        <x:v>32253</x:v>
      </x:c>
      <x:c r="R444" s="26" t="n">
        <x:f>O444-Q444</x:f>
        <x:v>2409.1500000000015</x:v>
      </x:c>
      <x:c r="S444" s="28" t="n">
        <x:f>IF(O444=0,0,R444/O444)</x:f>
        <x:v>0.06950376707734521</x:v>
      </x:c>
      <x:c r="T444" s="25" t="str">
        <x:v>Cash</x:v>
      </x:c>
      <x:c r="U444" s="25" t="str">
        <x:v>Completed</x:v>
      </x:c>
      <x:c r="V444" s="29" t="n">
        <x:v>5</x:v>
      </x:c>
    </x:row>
    <x:row r="445">
      <x:c r="A445" s="23" t="str">
        <x:v>MAN-2025-00444</x:v>
      </x:c>
      <x:c r="B445" s="24" t="n">
        <x:v>45824</x:v>
      </x:c>
      <x:c r="C445" s="25" t="str">
        <x:v>Mansoura</x:v>
      </x:c>
      <x:c r="D445" s="25" t="str">
        <x:v>Mit Ghamr</x:v>
      </x:c>
      <x:c r="E445" s="25" t="str">
        <x:v>Aya Farouk</x:v>
      </x:c>
      <x:c r="F445" s="25" t="str">
        <x:v>Mostafa Samir</x:v>
      </x:c>
      <x:c r="G445" s="25" t="str">
        <x:v>Consumer</x:v>
      </x:c>
      <x:c r="H445" s="25" t="str">
        <x:v>Website</x:v>
      </x:c>
      <x:c r="I445" s="25" t="str">
        <x:v>Furniture</x:v>
      </x:c>
      <x:c r="J445" s="25" t="str">
        <x:v>Sofa</x:v>
      </x:c>
      <x:c r="K445" s="25" t="n">
        <x:v>1</x:v>
      </x:c>
      <x:c r="L445" s="26" t="n">
        <x:v>13072</x:v>
      </x:c>
      <x:c r="M445" s="27" t="n">
        <x:v>0.1</x:v>
      </x:c>
      <x:c r="N445" s="26" t="n">
        <x:f>K445*L445</x:f>
        <x:v>13072</x:v>
      </x:c>
      <x:c r="O445" s="26" t="n">
        <x:f>N445*(1-M445)</x:f>
        <x:v>11764.800000000001</x:v>
      </x:c>
      <x:c r="P445" s="26" t="n">
        <x:v>10889</x:v>
      </x:c>
      <x:c r="Q445" s="26" t="n">
        <x:f>K445*P445</x:f>
        <x:v>10889</x:v>
      </x:c>
      <x:c r="R445" s="26" t="n">
        <x:f>O445-Q445</x:f>
        <x:v>875.8000000000011</x:v>
      </x:c>
      <x:c r="S445" s="28" t="n">
        <x:f>IF(O445=0,0,R445/O445)</x:f>
        <x:v>0.0744424044607644</x:v>
      </x:c>
      <x:c r="T445" s="25" t="str">
        <x:v>Bank Transfer</x:v>
      </x:c>
      <x:c r="U445" s="25" t="str">
        <x:v>Completed</x:v>
      </x:c>
      <x:c r="V445" s="29" t="n">
        <x:v>5</x:v>
      </x:c>
    </x:row>
    <x:row r="446">
      <x:c r="A446" s="23" t="str">
        <x:v>MAN-2025-00445</x:v>
      </x:c>
      <x:c r="B446" s="24" t="n">
        <x:v>45909</x:v>
      </x:c>
      <x:c r="C446" s="25" t="str">
        <x:v>Mansoura</x:v>
      </x:c>
      <x:c r="D446" s="25" t="str">
        <x:v>Talkha</x:v>
      </x:c>
      <x:c r="E446" s="25" t="str">
        <x:v>Ali Sayed</x:v>
      </x:c>
      <x:c r="F446" s="25" t="str">
        <x:v>Mariam Gamal</x:v>
      </x:c>
      <x:c r="G446" s="25" t="str">
        <x:v>Corporate</x:v>
      </x:c>
      <x:c r="H446" s="25" t="str">
        <x:v>Mobile App</x:v>
      </x:c>
      <x:c r="I446" s="25" t="str">
        <x:v>Home Appliances</x:v>
      </x:c>
      <x:c r="J446" s="25" t="str">
        <x:v>Washing Machine</x:v>
      </x:c>
      <x:c r="K446" s="25" t="n">
        <x:v>4</x:v>
      </x:c>
      <x:c r="L446" s="26" t="n">
        <x:v>17121</x:v>
      </x:c>
      <x:c r="M446" s="27" t="n">
        <x:v>0</x:v>
      </x:c>
      <x:c r="N446" s="26" t="n">
        <x:f>K446*L446</x:f>
        <x:v>68484</x:v>
      </x:c>
      <x:c r="O446" s="26" t="n">
        <x:f>N446*(1-M446)</x:f>
        <x:v>68484</x:v>
      </x:c>
      <x:c r="P446" s="26" t="n">
        <x:v>14115</x:v>
      </x:c>
      <x:c r="Q446" s="26" t="n">
        <x:f>K446*P446</x:f>
        <x:v>56460</x:v>
      </x:c>
      <x:c r="R446" s="26" t="n">
        <x:f>O446-Q446</x:f>
        <x:v>12024</x:v>
      </x:c>
      <x:c r="S446" s="28" t="n">
        <x:f>IF(O446=0,0,R446/O446)</x:f>
        <x:v>0.17557385666725076</x:v>
      </x:c>
      <x:c r="T446" s="25" t="str">
        <x:v>Digital Wallet</x:v>
      </x:c>
      <x:c r="U446" s="25" t="str">
        <x:v>Cancelled</x:v>
      </x:c>
      <x:c r="V446" s="29" t="n">
        <x:v>3</x:v>
      </x:c>
    </x:row>
    <x:row r="447">
      <x:c r="A447" s="23" t="str">
        <x:v>MAN-2025-00446</x:v>
      </x:c>
      <x:c r="B447" s="24" t="n">
        <x:v>45839</x:v>
      </x:c>
      <x:c r="C447" s="25" t="str">
        <x:v>Mansoura</x:v>
      </x:c>
      <x:c r="D447" s="25" t="str">
        <x:v>Aga</x:v>
      </x:c>
      <x:c r="E447" s="25" t="str">
        <x:v>Youssef Fathy</x:v>
      </x:c>
      <x:c r="F447" s="25" t="str">
        <x:v>Karim Tarek</x:v>
      </x:c>
      <x:c r="G447" s="25" t="str">
        <x:v>Consumer</x:v>
      </x:c>
      <x:c r="H447" s="25" t="str">
        <x:v>Retail Store</x:v>
      </x:c>
      <x:c r="I447" s="25" t="str">
        <x:v>Electronics</x:v>
      </x:c>
      <x:c r="J447" s="25" t="str">
        <x:v>Smartphone</x:v>
      </x:c>
      <x:c r="K447" s="25" t="n">
        <x:v>5</x:v>
      </x:c>
      <x:c r="L447" s="26" t="n">
        <x:v>12807</x:v>
      </x:c>
      <x:c r="M447" s="27" t="n">
        <x:v>0.1</x:v>
      </x:c>
      <x:c r="N447" s="26" t="n">
        <x:f>K447*L447</x:f>
        <x:v>64035</x:v>
      </x:c>
      <x:c r="O447" s="26" t="n">
        <x:f>N447*(1-M447)</x:f>
        <x:v>57631.5</x:v>
      </x:c>
      <x:c r="P447" s="26" t="n">
        <x:v>11104</x:v>
      </x:c>
      <x:c r="Q447" s="26" t="n">
        <x:f>K447*P447</x:f>
        <x:v>55520</x:v>
      </x:c>
      <x:c r="R447" s="26" t="n">
        <x:f>O447-Q447</x:f>
        <x:v>2111.5</x:v>
      </x:c>
      <x:c r="S447" s="28" t="n">
        <x:f>IF(O447=0,0,R447/O447)</x:f>
        <x:v>0.03663794973235123</x:v>
      </x:c>
      <x:c r="T447" s="25" t="str">
        <x:v>Bank Transfer</x:v>
      </x:c>
      <x:c r="U447" s="25" t="str">
        <x:v>Returned</x:v>
      </x:c>
      <x:c r="V447" s="29" t="n">
        <x:v>5</x:v>
      </x:c>
    </x:row>
    <x:row r="448">
      <x:c r="A448" s="23" t="str">
        <x:v>MAN-2025-00447</x:v>
      </x:c>
      <x:c r="B448" s="24" t="n">
        <x:v>45713</x:v>
      </x:c>
      <x:c r="C448" s="25" t="str">
        <x:v>Mansoura</x:v>
      </x:c>
      <x:c r="D448" s="25" t="str">
        <x:v>Mit Ghamr</x:v>
      </x:c>
      <x:c r="E448" s="25" t="str">
        <x:v>Ali Sayed</x:v>
      </x:c>
      <x:c r="F448" s="25" t="str">
        <x:v>Ali Mansour</x:v>
      </x:c>
      <x:c r="G448" s="25" t="str">
        <x:v>Small Business</x:v>
      </x:c>
      <x:c r="H448" s="25" t="str">
        <x:v>Retail Store</x:v>
      </x:c>
      <x:c r="I448" s="25" t="str">
        <x:v>Home Appliances</x:v>
      </x:c>
      <x:c r="J448" s="25" t="str">
        <x:v>Microwave</x:v>
      </x:c>
      <x:c r="K448" s="25" t="n">
        <x:v>1</x:v>
      </x:c>
      <x:c r="L448" s="26" t="n">
        <x:v>5525</x:v>
      </x:c>
      <x:c r="M448" s="27" t="n">
        <x:v>0</x:v>
      </x:c>
      <x:c r="N448" s="26" t="n">
        <x:f>K448*L448</x:f>
        <x:v>5525</x:v>
      </x:c>
      <x:c r="O448" s="26" t="n">
        <x:f>N448*(1-M448)</x:f>
        <x:v>5525</x:v>
      </x:c>
      <x:c r="P448" s="26" t="n">
        <x:v>4438</x:v>
      </x:c>
      <x:c r="Q448" s="26" t="n">
        <x:f>K448*P448</x:f>
        <x:v>4438</x:v>
      </x:c>
      <x:c r="R448" s="26" t="n">
        <x:f>O448-Q448</x:f>
        <x:v>1087</x:v>
      </x:c>
      <x:c r="S448" s="28" t="n">
        <x:f>IF(O448=0,0,R448/O448)</x:f>
        <x:v>0.1967420814479638</x:v>
      </x:c>
      <x:c r="T448" s="25" t="str">
        <x:v>Digital Wallet</x:v>
      </x:c>
      <x:c r="U448" s="25" t="str">
        <x:v>Completed</x:v>
      </x:c>
      <x:c r="V448" s="29" t="n">
        <x:v>5</x:v>
      </x:c>
    </x:row>
    <x:row r="449">
      <x:c r="A449" s="23" t="str">
        <x:v>MAN-2025-00448</x:v>
      </x:c>
      <x:c r="B449" s="24" t="n">
        <x:v>45994</x:v>
      </x:c>
      <x:c r="C449" s="25" t="str">
        <x:v>Mansoura</x:v>
      </x:c>
      <x:c r="D449" s="25" t="str">
        <x:v>Talkha</x:v>
      </x:c>
      <x:c r="E449" s="25" t="str">
        <x:v>Ali Sayed</x:v>
      </x:c>
      <x:c r="F449" s="25" t="str">
        <x:v>Ahmed Khalil</x:v>
      </x:c>
      <x:c r="G449" s="25" t="str">
        <x:v>Small Business</x:v>
      </x:c>
      <x:c r="H449" s="25" t="str">
        <x:v>Retail Store</x:v>
      </x:c>
      <x:c r="I449" s="25" t="str">
        <x:v>Home Appliances</x:v>
      </x:c>
      <x:c r="J449" s="25" t="str">
        <x:v>Blender</x:v>
      </x:c>
      <x:c r="K449" s="25" t="n">
        <x:v>4</x:v>
      </x:c>
      <x:c r="L449" s="26" t="n">
        <x:v>1688</x:v>
      </x:c>
      <x:c r="M449" s="27" t="n">
        <x:v>0.15</x:v>
      </x:c>
      <x:c r="N449" s="26" t="n">
        <x:f>K449*L449</x:f>
        <x:v>6752</x:v>
      </x:c>
      <x:c r="O449" s="26" t="n">
        <x:f>N449*(1-M449)</x:f>
        <x:v>5739.2</x:v>
      </x:c>
      <x:c r="P449" s="26" t="n">
        <x:v>1235</x:v>
      </x:c>
      <x:c r="Q449" s="26" t="n">
        <x:f>K449*P449</x:f>
        <x:v>4940</x:v>
      </x:c>
      <x:c r="R449" s="26" t="n">
        <x:f>O449-Q449</x:f>
        <x:v>799.1999999999998</x:v>
      </x:c>
      <x:c r="S449" s="28" t="n">
        <x:f>IF(O449=0,0,R449/O449)</x:f>
        <x:v>0.13925285754112068</x:v>
      </x:c>
      <x:c r="T449" s="25" t="str">
        <x:v>Credit Card</x:v>
      </x:c>
      <x:c r="U449" s="25" t="str">
        <x:v>Completed</x:v>
      </x:c>
      <x:c r="V449" s="29" t="n">
        <x:v>5</x:v>
      </x:c>
    </x:row>
    <x:row r="450">
      <x:c r="A450" s="23" t="str">
        <x:v>MAN-2025-00449</x:v>
      </x:c>
      <x:c r="B450" s="24" t="n">
        <x:v>45874</x:v>
      </x:c>
      <x:c r="C450" s="25" t="str">
        <x:v>Mansoura</x:v>
      </x:c>
      <x:c r="D450" s="25" t="str">
        <x:v>Mansoura City</x:v>
      </x:c>
      <x:c r="E450" s="25" t="str">
        <x:v>Youssef Fathy</x:v>
      </x:c>
      <x:c r="F450" s="25" t="str">
        <x:v>Amr Nasser</x:v>
      </x:c>
      <x:c r="G450" s="25" t="str">
        <x:v>Corporate</x:v>
      </x:c>
      <x:c r="H450" s="25" t="str">
        <x:v>Phone Order</x:v>
      </x:c>
      <x:c r="I450" s="25" t="str">
        <x:v>Office Supplies</x:v>
      </x:c>
      <x:c r="J450" s="25" t="str">
        <x:v>Calculator</x:v>
      </x:c>
      <x:c r="K450" s="25" t="n">
        <x:v>5</x:v>
      </x:c>
      <x:c r="L450" s="26" t="n">
        <x:v>422</x:v>
      </x:c>
      <x:c r="M450" s="27" t="n">
        <x:v>0</x:v>
      </x:c>
      <x:c r="N450" s="26" t="n">
        <x:f>K450*L450</x:f>
        <x:v>2110</x:v>
      </x:c>
      <x:c r="O450" s="26" t="n">
        <x:f>N450*(1-M450)</x:f>
        <x:v>2110</x:v>
      </x:c>
      <x:c r="P450" s="26" t="n">
        <x:v>289</x:v>
      </x:c>
      <x:c r="Q450" s="26" t="n">
        <x:f>K450*P450</x:f>
        <x:v>1445</x:v>
      </x:c>
      <x:c r="R450" s="26" t="n">
        <x:f>O450-Q450</x:f>
        <x:v>665</x:v>
      </x:c>
      <x:c r="S450" s="28" t="n">
        <x:f>IF(O450=0,0,R450/O450)</x:f>
        <x:v>0.31516587677725116</x:v>
      </x:c>
      <x:c r="T450" s="25" t="str">
        <x:v>Debit Card</x:v>
      </x:c>
      <x:c r="U450" s="25" t="str">
        <x:v>Completed</x:v>
      </x:c>
      <x:c r="V450" s="29" t="n">
        <x:v>3</x:v>
      </x:c>
    </x:row>
    <x:row r="451">
      <x:c r="A451" s="23" t="str">
        <x:v>MAN-2025-00450</x:v>
      </x:c>
      <x:c r="B451" s="24" t="n">
        <x:v>45863</x:v>
      </x:c>
      <x:c r="C451" s="25" t="str">
        <x:v>Mansoura</x:v>
      </x:c>
      <x:c r="D451" s="25" t="str">
        <x:v>Aga</x:v>
      </x:c>
      <x:c r="E451" s="25" t="str">
        <x:v>Aya Farouk</x:v>
      </x:c>
      <x:c r="F451" s="25" t="str">
        <x:v>Farah Hassan</x:v>
      </x:c>
      <x:c r="G451" s="25" t="str">
        <x:v>Corporate</x:v>
      </x:c>
      <x:c r="H451" s="25" t="str">
        <x:v>Website</x:v>
      </x:c>
      <x:c r="I451" s="25" t="str">
        <x:v>Furniture</x:v>
      </x:c>
      <x:c r="J451" s="25" t="str">
        <x:v>Sofa</x:v>
      </x:c>
      <x:c r="K451" s="25" t="n">
        <x:v>3</x:v>
      </x:c>
      <x:c r="L451" s="26" t="n">
        <x:v>12405</x:v>
      </x:c>
      <x:c r="M451" s="27" t="n">
        <x:v>0</x:v>
      </x:c>
      <x:c r="N451" s="26" t="n">
        <x:f>K451*L451</x:f>
        <x:v>37215</x:v>
      </x:c>
      <x:c r="O451" s="26" t="n">
        <x:f>N451*(1-M451)</x:f>
        <x:v>37215</x:v>
      </x:c>
      <x:c r="P451" s="26" t="n">
        <x:v>10904</x:v>
      </x:c>
      <x:c r="Q451" s="26" t="n">
        <x:f>K451*P451</x:f>
        <x:v>32712</x:v>
      </x:c>
      <x:c r="R451" s="26" t="n">
        <x:f>O451-Q451</x:f>
        <x:v>4503</x:v>
      </x:c>
      <x:c r="S451" s="28" t="n">
        <x:f>IF(O451=0,0,R451/O451)</x:f>
        <x:v>0.12099959693671906</x:v>
      </x:c>
      <x:c r="T451" s="25" t="str">
        <x:v>Digital Wallet</x:v>
      </x:c>
      <x:c r="U451" s="25" t="str">
        <x:v>Completed</x:v>
      </x:c>
      <x:c r="V451" s="29" t="n">
        <x:v>3</x:v>
      </x:c>
    </x:row>
    <x:row r="452">
      <x:c r="A452" s="23" t="str">
        <x:v>MAN-2025-00451</x:v>
      </x:c>
      <x:c r="B452" s="24" t="n">
        <x:v>45866</x:v>
      </x:c>
      <x:c r="C452" s="25" t="str">
        <x:v>Mansoura</x:v>
      </x:c>
      <x:c r="D452" s="25" t="str">
        <x:v>Aga</x:v>
      </x:c>
      <x:c r="E452" s="25" t="str">
        <x:v>Youssef Fathy</x:v>
      </x:c>
      <x:c r="F452" s="25" t="str">
        <x:v>Mohamed Nasser</x:v>
      </x:c>
      <x:c r="G452" s="25" t="str">
        <x:v>Corporate</x:v>
      </x:c>
      <x:c r="H452" s="25" t="str">
        <x:v>Retail Store</x:v>
      </x:c>
      <x:c r="I452" s="25" t="str">
        <x:v>Home Appliances</x:v>
      </x:c>
      <x:c r="J452" s="25" t="str">
        <x:v>Washing Machine</x:v>
      </x:c>
      <x:c r="K452" s="25" t="n">
        <x:v>6</x:v>
      </x:c>
      <x:c r="L452" s="26" t="n">
        <x:v>15675</x:v>
      </x:c>
      <x:c r="M452" s="27" t="n">
        <x:v>0.05</x:v>
      </x:c>
      <x:c r="N452" s="26" t="n">
        <x:f>K452*L452</x:f>
        <x:v>94050</x:v>
      </x:c>
      <x:c r="O452" s="26" t="n">
        <x:f>N452*(1-M452)</x:f>
        <x:v>89347.5</x:v>
      </x:c>
      <x:c r="P452" s="26" t="n">
        <x:v>14160</x:v>
      </x:c>
      <x:c r="Q452" s="26" t="n">
        <x:f>K452*P452</x:f>
        <x:v>84960</x:v>
      </x:c>
      <x:c r="R452" s="26" t="n">
        <x:f>O452-Q452</x:f>
        <x:v>4387.5</x:v>
      </x:c>
      <x:c r="S452" s="28" t="n">
        <x:f>IF(O452=0,0,R452/O452)</x:f>
        <x:v>0.049106018635104505</x:v>
      </x:c>
      <x:c r="T452" s="25" t="str">
        <x:v>Debit Card</x:v>
      </x:c>
      <x:c r="U452" s="25" t="str">
        <x:v>Completed</x:v>
      </x:c>
      <x:c r="V452" s="29" t="n">
        <x:v>4</x:v>
      </x:c>
    </x:row>
    <x:row r="453">
      <x:c r="A453" s="23" t="str">
        <x:v>MAN-2025-00452</x:v>
      </x:c>
      <x:c r="B453" s="24" t="n">
        <x:v>46012</x:v>
      </x:c>
      <x:c r="C453" s="25" t="str">
        <x:v>Mansoura</x:v>
      </x:c>
      <x:c r="D453" s="25" t="str">
        <x:v>Aga</x:v>
      </x:c>
      <x:c r="E453" s="25" t="str">
        <x:v>Salma Mansour</x:v>
      </x:c>
      <x:c r="F453" s="25" t="str">
        <x:v>Salma Khalil</x:v>
      </x:c>
      <x:c r="G453" s="25" t="str">
        <x:v>Consumer</x:v>
      </x:c>
      <x:c r="H453" s="25" t="str">
        <x:v>Phone Order</x:v>
      </x:c>
      <x:c r="I453" s="25" t="str">
        <x:v>Furniture</x:v>
      </x:c>
      <x:c r="J453" s="25" t="str">
        <x:v>Desk</x:v>
      </x:c>
      <x:c r="K453" s="25" t="n">
        <x:v>4</x:v>
      </x:c>
      <x:c r="L453" s="26" t="n">
        <x:v>4889</x:v>
      </x:c>
      <x:c r="M453" s="27" t="n">
        <x:v>0.1</x:v>
      </x:c>
      <x:c r="N453" s="26" t="n">
        <x:f>K453*L453</x:f>
        <x:v>19556</x:v>
      </x:c>
      <x:c r="O453" s="26" t="n">
        <x:f>N453*(1-M453)</x:f>
        <x:v>17600.4</x:v>
      </x:c>
      <x:c r="P453" s="26" t="n">
        <x:v>4023</x:v>
      </x:c>
      <x:c r="Q453" s="26" t="n">
        <x:f>K453*P453</x:f>
        <x:v>16092</x:v>
      </x:c>
      <x:c r="R453" s="26" t="n">
        <x:f>O453-Q453</x:f>
        <x:v>1508.4000000000015</x:v>
      </x:c>
      <x:c r="S453" s="28" t="n">
        <x:f>IF(O453=0,0,R453/O453)</x:f>
        <x:v>0.08570259766823489</x:v>
      </x:c>
      <x:c r="T453" s="25" t="str">
        <x:v>Credit Card</x:v>
      </x:c>
      <x:c r="U453" s="25" t="str">
        <x:v>Returned</x:v>
      </x:c>
      <x:c r="V453" s="29" t="n">
        <x:v>4</x:v>
      </x:c>
    </x:row>
    <x:row r="454">
      <x:c r="A454" s="23" t="str">
        <x:v>MAN-2025-00453</x:v>
      </x:c>
      <x:c r="B454" s="24" t="n">
        <x:v>45761</x:v>
      </x:c>
      <x:c r="C454" s="25" t="str">
        <x:v>Mansoura</x:v>
      </x:c>
      <x:c r="D454" s="25" t="str">
        <x:v>Mansoura City</x:v>
      </x:c>
      <x:c r="E454" s="25" t="str">
        <x:v>Youssef Fathy</x:v>
      </x:c>
      <x:c r="F454" s="25" t="str">
        <x:v>Mohamed Ibrahim</x:v>
      </x:c>
      <x:c r="G454" s="25" t="str">
        <x:v>Corporate</x:v>
      </x:c>
      <x:c r="H454" s="25" t="str">
        <x:v>Phone Order</x:v>
      </x:c>
      <x:c r="I454" s="25" t="str">
        <x:v>Home Appliances</x:v>
      </x:c>
      <x:c r="J454" s="25" t="str">
        <x:v>Microwave</x:v>
      </x:c>
      <x:c r="K454" s="25" t="n">
        <x:v>2</x:v>
      </x:c>
      <x:c r="L454" s="26" t="n">
        <x:v>5808</x:v>
      </x:c>
      <x:c r="M454" s="27" t="n">
        <x:v>0</x:v>
      </x:c>
      <x:c r="N454" s="26" t="n">
        <x:f>K454*L454</x:f>
        <x:v>11616</x:v>
      </x:c>
      <x:c r="O454" s="26" t="n">
        <x:f>N454*(1-M454)</x:f>
        <x:v>11616</x:v>
      </x:c>
      <x:c r="P454" s="26" t="n">
        <x:v>4460</x:v>
      </x:c>
      <x:c r="Q454" s="26" t="n">
        <x:f>K454*P454</x:f>
        <x:v>8920</x:v>
      </x:c>
      <x:c r="R454" s="26" t="n">
        <x:f>O454-Q454</x:f>
        <x:v>2696</x:v>
      </x:c>
      <x:c r="S454" s="28" t="n">
        <x:f>IF(O454=0,0,R454/O454)</x:f>
        <x:v>0.23209366391184574</x:v>
      </x:c>
      <x:c r="T454" s="25" t="str">
        <x:v>Credit Card</x:v>
      </x:c>
      <x:c r="U454" s="25" t="str">
        <x:v>Returned</x:v>
      </x:c>
      <x:c r="V454" s="29" t="n">
        <x:v>4</x:v>
      </x:c>
    </x:row>
    <x:row r="455">
      <x:c r="A455" s="23" t="str">
        <x:v>MAN-2025-00454</x:v>
      </x:c>
      <x:c r="B455" s="24" t="n">
        <x:v>45693</x:v>
      </x:c>
      <x:c r="C455" s="25" t="str">
        <x:v>Mansoura</x:v>
      </x:c>
      <x:c r="D455" s="25" t="str">
        <x:v>Mit Ghamr</x:v>
      </x:c>
      <x:c r="E455" s="25" t="str">
        <x:v>Ali Sayed</x:v>
      </x:c>
      <x:c r="F455" s="25" t="str">
        <x:v>Mahmoud Khalil</x:v>
      </x:c>
      <x:c r="G455" s="25" t="str">
        <x:v>Small Business</x:v>
      </x:c>
      <x:c r="H455" s="25" t="str">
        <x:v>Retail Store</x:v>
      </x:c>
      <x:c r="I455" s="25" t="str">
        <x:v>Furniture</x:v>
      </x:c>
      <x:c r="J455" s="25" t="str">
        <x:v>Desk</x:v>
      </x:c>
      <x:c r="K455" s="25" t="n">
        <x:v>6</x:v>
      </x:c>
      <x:c r="L455" s="26" t="n">
        <x:v>5143</x:v>
      </x:c>
      <x:c r="M455" s="27" t="n">
        <x:v>0</x:v>
      </x:c>
      <x:c r="N455" s="26" t="n">
        <x:f>K455*L455</x:f>
        <x:v>30858</x:v>
      </x:c>
      <x:c r="O455" s="26" t="n">
        <x:f>N455*(1-M455)</x:f>
        <x:v>30858</x:v>
      </x:c>
      <x:c r="P455" s="26" t="n">
        <x:v>3978</x:v>
      </x:c>
      <x:c r="Q455" s="26" t="n">
        <x:f>K455*P455</x:f>
        <x:v>23868</x:v>
      </x:c>
      <x:c r="R455" s="26" t="n">
        <x:f>O455-Q455</x:f>
        <x:v>6990</x:v>
      </x:c>
      <x:c r="S455" s="28" t="n">
        <x:f>IF(O455=0,0,R455/O455)</x:f>
        <x:v>0.22652148551429127</x:v>
      </x:c>
      <x:c r="T455" s="25" t="str">
        <x:v>Debit Card</x:v>
      </x:c>
      <x:c r="U455" s="25" t="str">
        <x:v>Completed</x:v>
      </x:c>
      <x:c r="V455" s="29" t="n">
        <x:v>5</x:v>
      </x:c>
    </x:row>
    <x:row r="456">
      <x:c r="A456" s="23" t="str">
        <x:v>MAN-2025-00455</x:v>
      </x:c>
      <x:c r="B456" s="24" t="n">
        <x:v>45668</x:v>
      </x:c>
      <x:c r="C456" s="25" t="str">
        <x:v>Mansoura</x:v>
      </x:c>
      <x:c r="D456" s="25" t="str">
        <x:v>Talkha</x:v>
      </x:c>
      <x:c r="E456" s="25" t="str">
        <x:v>Ali Sayed</x:v>
      </x:c>
      <x:c r="F456" s="25" t="str">
        <x:v>Salma Ibrahim</x:v>
      </x:c>
      <x:c r="G456" s="25" t="str">
        <x:v>Small Business</x:v>
      </x:c>
      <x:c r="H456" s="25" t="str">
        <x:v>Retail Store</x:v>
      </x:c>
      <x:c r="I456" s="25" t="str">
        <x:v>Home Appliances</x:v>
      </x:c>
      <x:c r="J456" s="25" t="str">
        <x:v>Air Conditioner</x:v>
      </x:c>
      <x:c r="K456" s="25" t="n">
        <x:v>3</x:v>
      </x:c>
      <x:c r="L456" s="26" t="n">
        <x:v>21356</x:v>
      </x:c>
      <x:c r="M456" s="27" t="n">
        <x:v>0</x:v>
      </x:c>
      <x:c r="N456" s="26" t="n">
        <x:f>K456*L456</x:f>
        <x:v>64068</x:v>
      </x:c>
      <x:c r="O456" s="26" t="n">
        <x:f>N456*(1-M456)</x:f>
        <x:v>64068</x:v>
      </x:c>
      <x:c r="P456" s="26" t="n">
        <x:v>18301</x:v>
      </x:c>
      <x:c r="Q456" s="26" t="n">
        <x:f>K456*P456</x:f>
        <x:v>54903</x:v>
      </x:c>
      <x:c r="R456" s="26" t="n">
        <x:f>O456-Q456</x:f>
        <x:v>9165</x:v>
      </x:c>
      <x:c r="S456" s="28" t="n">
        <x:f>IF(O456=0,0,R456/O456)</x:f>
        <x:v>0.14305113317100582</x:v>
      </x:c>
      <x:c r="T456" s="25" t="str">
        <x:v>Digital Wallet</x:v>
      </x:c>
      <x:c r="U456" s="25" t="str">
        <x:v>Completed</x:v>
      </x:c>
      <x:c r="V456" s="29" t="n">
        <x:v>4</x:v>
      </x:c>
    </x:row>
    <x:row r="457">
      <x:c r="A457" s="23" t="str">
        <x:v>MAN-2025-00456</x:v>
      </x:c>
      <x:c r="B457" s="24" t="n">
        <x:v>45830</x:v>
      </x:c>
      <x:c r="C457" s="25" t="str">
        <x:v>Mansoura</x:v>
      </x:c>
      <x:c r="D457" s="25" t="str">
        <x:v>Mit Ghamr</x:v>
      </x:c>
      <x:c r="E457" s="25" t="str">
        <x:v>Ali Sayed</x:v>
      </x:c>
      <x:c r="F457" s="25" t="str">
        <x:v>Karim Adel</x:v>
      </x:c>
      <x:c r="G457" s="25" t="str">
        <x:v>Consumer</x:v>
      </x:c>
      <x:c r="H457" s="25" t="str">
        <x:v>Phone Order</x:v>
      </x:c>
      <x:c r="I457" s="25" t="str">
        <x:v>Home Appliances</x:v>
      </x:c>
      <x:c r="J457" s="25" t="str">
        <x:v>Microwave</x:v>
      </x:c>
      <x:c r="K457" s="25" t="n">
        <x:v>4</x:v>
      </x:c>
      <x:c r="L457" s="26" t="n">
        <x:v>5385</x:v>
      </x:c>
      <x:c r="M457" s="27" t="n">
        <x:v>0.1</x:v>
      </x:c>
      <x:c r="N457" s="26" t="n">
        <x:f>K457*L457</x:f>
        <x:v>21540</x:v>
      </x:c>
      <x:c r="O457" s="26" t="n">
        <x:f>N457*(1-M457)</x:f>
        <x:v>19386</x:v>
      </x:c>
      <x:c r="P457" s="26" t="n">
        <x:v>4308</x:v>
      </x:c>
      <x:c r="Q457" s="26" t="n">
        <x:f>K457*P457</x:f>
        <x:v>17232</x:v>
      </x:c>
      <x:c r="R457" s="26" t="n">
        <x:f>O457-Q457</x:f>
        <x:v>2154</x:v>
      </x:c>
      <x:c r="S457" s="28" t="n">
        <x:f>IF(O457=0,0,R457/O457)</x:f>
        <x:v>0.1111111111111111</x:v>
      </x:c>
      <x:c r="T457" s="25" t="str">
        <x:v>Digital Wallet</x:v>
      </x:c>
      <x:c r="U457" s="25" t="str">
        <x:v>Cancelled</x:v>
      </x:c>
      <x:c r="V457" s="29" t="n">
        <x:v>3</x:v>
      </x:c>
    </x:row>
    <x:row r="458">
      <x:c r="A458" s="23" t="str">
        <x:v>MAN-2025-00457</x:v>
      </x:c>
      <x:c r="B458" s="24" t="n">
        <x:v>45795</x:v>
      </x:c>
      <x:c r="C458" s="25" t="str">
        <x:v>Mansoura</x:v>
      </x:c>
      <x:c r="D458" s="25" t="str">
        <x:v>Talkha</x:v>
      </x:c>
      <x:c r="E458" s="25" t="str">
        <x:v>Youssef Fathy</x:v>
      </x:c>
      <x:c r="F458" s="25" t="str">
        <x:v>Hana Sayed</x:v>
      </x:c>
      <x:c r="G458" s="25" t="str">
        <x:v>Corporate</x:v>
      </x:c>
      <x:c r="H458" s="25" t="str">
        <x:v>Retail Store</x:v>
      </x:c>
      <x:c r="I458" s="25" t="str">
        <x:v>Office Supplies</x:v>
      </x:c>
      <x:c r="J458" s="25" t="str">
        <x:v>Printer</x:v>
      </x:c>
      <x:c r="K458" s="25" t="n">
        <x:v>3</x:v>
      </x:c>
      <x:c r="L458" s="26" t="n">
        <x:v>6776</x:v>
      </x:c>
      <x:c r="M458" s="27" t="n">
        <x:v>0.15</x:v>
      </x:c>
      <x:c r="N458" s="26" t="n">
        <x:f>K458*L458</x:f>
        <x:v>20328</x:v>
      </x:c>
      <x:c r="O458" s="26" t="n">
        <x:f>N458*(1-M458)</x:f>
        <x:v>17278.8</x:v>
      </x:c>
      <x:c r="P458" s="26" t="n">
        <x:v>5347</x:v>
      </x:c>
      <x:c r="Q458" s="26" t="n">
        <x:f>K458*P458</x:f>
        <x:v>16041</x:v>
      </x:c>
      <x:c r="R458" s="26" t="n">
        <x:f>O458-Q458</x:f>
        <x:v>1237.7999999999993</x:v>
      </x:c>
      <x:c r="S458" s="28" t="n">
        <x:f>IF(O458=0,0,R458/O458)</x:f>
        <x:v>0.07163691923050208</x:v>
      </x:c>
      <x:c r="T458" s="25" t="str">
        <x:v>Digital Wallet</x:v>
      </x:c>
      <x:c r="U458" s="25" t="str">
        <x:v>Completed</x:v>
      </x:c>
      <x:c r="V458" s="29" t="n">
        <x:v>5</x:v>
      </x:c>
    </x:row>
    <x:row r="459">
      <x:c r="A459" s="23" t="str">
        <x:v>MAN-2025-00458</x:v>
      </x:c>
      <x:c r="B459" s="24" t="n">
        <x:v>46003</x:v>
      </x:c>
      <x:c r="C459" s="25" t="str">
        <x:v>Mansoura</x:v>
      </x:c>
      <x:c r="D459" s="25" t="str">
        <x:v>Talkha</x:v>
      </x:c>
      <x:c r="E459" s="25" t="str">
        <x:v>Ali Sayed</x:v>
      </x:c>
      <x:c r="F459" s="25" t="str">
        <x:v>Farah Fathy</x:v>
      </x:c>
      <x:c r="G459" s="25" t="str">
        <x:v>Consumer</x:v>
      </x:c>
      <x:c r="H459" s="25" t="str">
        <x:v>Retail Store</x:v>
      </x:c>
      <x:c r="I459" s="25" t="str">
        <x:v>Electronics</x:v>
      </x:c>
      <x:c r="J459" s="25" t="str">
        <x:v>Headphones</x:v>
      </x:c>
      <x:c r="K459" s="25" t="n">
        <x:v>6</x:v>
      </x:c>
      <x:c r="L459" s="26" t="n">
        <x:v>1678</x:v>
      </x:c>
      <x:c r="M459" s="27" t="n">
        <x:v>0</x:v>
      </x:c>
      <x:c r="N459" s="26" t="n">
        <x:f>K459*L459</x:f>
        <x:v>10068</x:v>
      </x:c>
      <x:c r="O459" s="26" t="n">
        <x:f>N459*(1-M459)</x:f>
        <x:v>10068</x:v>
      </x:c>
      <x:c r="P459" s="26" t="n">
        <x:v>1100</x:v>
      </x:c>
      <x:c r="Q459" s="26" t="n">
        <x:f>K459*P459</x:f>
        <x:v>6600</x:v>
      </x:c>
      <x:c r="R459" s="26" t="n">
        <x:f>O459-Q459</x:f>
        <x:v>3468</x:v>
      </x:c>
      <x:c r="S459" s="28" t="n">
        <x:f>IF(O459=0,0,R459/O459)</x:f>
        <x:v>0.34445768772348034</x:v>
      </x:c>
      <x:c r="T459" s="25" t="str">
        <x:v>Credit Card</x:v>
      </x:c>
      <x:c r="U459" s="25" t="str">
        <x:v>Completed</x:v>
      </x:c>
      <x:c r="V459" s="29" t="n">
        <x:v>4</x:v>
      </x:c>
    </x:row>
    <x:row r="460">
      <x:c r="A460" s="23" t="str">
        <x:v>MAN-2025-00459</x:v>
      </x:c>
      <x:c r="B460" s="24" t="n">
        <x:v>45894</x:v>
      </x:c>
      <x:c r="C460" s="25" t="str">
        <x:v>Mansoura</x:v>
      </x:c>
      <x:c r="D460" s="25" t="str">
        <x:v>Aga</x:v>
      </x:c>
      <x:c r="E460" s="25" t="str">
        <x:v>Ali Sayed</x:v>
      </x:c>
      <x:c r="F460" s="25" t="str">
        <x:v>Sara Gamal</x:v>
      </x:c>
      <x:c r="G460" s="25" t="str">
        <x:v>Small Business</x:v>
      </x:c>
      <x:c r="H460" s="25" t="str">
        <x:v>Retail Store</x:v>
      </x:c>
      <x:c r="I460" s="25" t="str">
        <x:v>Electronics</x:v>
      </x:c>
      <x:c r="J460" s="25" t="str">
        <x:v>Tablet</x:v>
      </x:c>
      <x:c r="K460" s="25" t="n">
        <x:v>5</x:v>
      </x:c>
      <x:c r="L460" s="26" t="n">
        <x:v>8803</x:v>
      </x:c>
      <x:c r="M460" s="27" t="n">
        <x:v>0</x:v>
      </x:c>
      <x:c r="N460" s="26" t="n">
        <x:f>K460*L460</x:f>
        <x:v>44015</x:v>
      </x:c>
      <x:c r="O460" s="26" t="n">
        <x:f>N460*(1-M460)</x:f>
        <x:v>44015</x:v>
      </x:c>
      <x:c r="P460" s="26" t="n">
        <x:v>7314</x:v>
      </x:c>
      <x:c r="Q460" s="26" t="n">
        <x:f>K460*P460</x:f>
        <x:v>36570</x:v>
      </x:c>
      <x:c r="R460" s="26" t="n">
        <x:f>O460-Q460</x:f>
        <x:v>7445</x:v>
      </x:c>
      <x:c r="S460" s="28" t="n">
        <x:f>IF(O460=0,0,R460/O460)</x:f>
        <x:v>0.1691468817448597</x:v>
      </x:c>
      <x:c r="T460" s="25" t="str">
        <x:v>Bank Transfer</x:v>
      </x:c>
      <x:c r="U460" s="25" t="str">
        <x:v>Completed</x:v>
      </x:c>
      <x:c r="V460" s="29" t="n">
        <x:v>3</x:v>
      </x:c>
    </x:row>
    <x:row r="461">
      <x:c r="A461" s="23" t="str">
        <x:v>MAN-2025-00460</x:v>
      </x:c>
      <x:c r="B461" s="24" t="n">
        <x:v>45814</x:v>
      </x:c>
      <x:c r="C461" s="25" t="str">
        <x:v>Mansoura</x:v>
      </x:c>
      <x:c r="D461" s="25" t="str">
        <x:v>Talkha</x:v>
      </x:c>
      <x:c r="E461" s="25" t="str">
        <x:v>Aya Farouk</x:v>
      </x:c>
      <x:c r="F461" s="25" t="str">
        <x:v>Salma Farouk</x:v>
      </x:c>
      <x:c r="G461" s="25" t="str">
        <x:v>Corporate</x:v>
      </x:c>
      <x:c r="H461" s="25" t="str">
        <x:v>Website</x:v>
      </x:c>
      <x:c r="I461" s="25" t="str">
        <x:v>Office Supplies</x:v>
      </x:c>
      <x:c r="J461" s="25" t="str">
        <x:v>Calculator</x:v>
      </x:c>
      <x:c r="K461" s="25" t="n">
        <x:v>5</x:v>
      </x:c>
      <x:c r="L461" s="26" t="n">
        <x:v>439</x:v>
      </x:c>
      <x:c r="M461" s="27" t="n">
        <x:v>0</x:v>
      </x:c>
      <x:c r="N461" s="26" t="n">
        <x:f>K461*L461</x:f>
        <x:v>2195</x:v>
      </x:c>
      <x:c r="O461" s="26" t="n">
        <x:f>N461*(1-M461)</x:f>
        <x:v>2195</x:v>
      </x:c>
      <x:c r="P461" s="26" t="n">
        <x:v>279</x:v>
      </x:c>
      <x:c r="Q461" s="26" t="n">
        <x:f>K461*P461</x:f>
        <x:v>1395</x:v>
      </x:c>
      <x:c r="R461" s="26" t="n">
        <x:f>O461-Q461</x:f>
        <x:v>800</x:v>
      </x:c>
      <x:c r="S461" s="28" t="n">
        <x:f>IF(O461=0,0,R461/O461)</x:f>
        <x:v>0.36446469248291574</x:v>
      </x:c>
      <x:c r="T461" s="25" t="str">
        <x:v>Bank Transfer</x:v>
      </x:c>
      <x:c r="U461" s="25" t="str">
        <x:v>Completed</x:v>
      </x:c>
      <x:c r="V461" s="29" t="n">
        <x:v>4</x:v>
      </x:c>
    </x:row>
    <x:row r="462">
      <x:c r="A462" s="23" t="str">
        <x:v>MAN-2025-00461</x:v>
      </x:c>
      <x:c r="B462" s="24" t="n">
        <x:v>45900</x:v>
      </x:c>
      <x:c r="C462" s="25" t="str">
        <x:v>Mansoura</x:v>
      </x:c>
      <x:c r="D462" s="25" t="str">
        <x:v>Sherbin</x:v>
      </x:c>
      <x:c r="E462" s="25" t="str">
        <x:v>Aya Farouk</x:v>
      </x:c>
      <x:c r="F462" s="25" t="str">
        <x:v>Aya Khalil</x:v>
      </x:c>
      <x:c r="G462" s="25" t="str">
        <x:v>Consumer</x:v>
      </x:c>
      <x:c r="H462" s="25" t="str">
        <x:v>Website</x:v>
      </x:c>
      <x:c r="I462" s="25" t="str">
        <x:v>Electronics</x:v>
      </x:c>
      <x:c r="J462" s="25" t="str">
        <x:v>Smartphone</x:v>
      </x:c>
      <x:c r="K462" s="25" t="n">
        <x:v>5</x:v>
      </x:c>
      <x:c r="L462" s="26" t="n">
        <x:v>13176</x:v>
      </x:c>
      <x:c r="M462" s="27" t="n">
        <x:v>0</x:v>
      </x:c>
      <x:c r="N462" s="26" t="n">
        <x:f>K462*L462</x:f>
        <x:v>65880</x:v>
      </x:c>
      <x:c r="O462" s="26" t="n">
        <x:f>N462*(1-M462)</x:f>
        <x:v>65880</x:v>
      </x:c>
      <x:c r="P462" s="26" t="n">
        <x:v>10750</x:v>
      </x:c>
      <x:c r="Q462" s="26" t="n">
        <x:f>K462*P462</x:f>
        <x:v>53750</x:v>
      </x:c>
      <x:c r="R462" s="26" t="n">
        <x:f>O462-Q462</x:f>
        <x:v>12130</x:v>
      </x:c>
      <x:c r="S462" s="28" t="n">
        <x:f>IF(O462=0,0,R462/O462)</x:f>
        <x:v>0.18412264723740135</x:v>
      </x:c>
      <x:c r="T462" s="25" t="str">
        <x:v>Bank Transfer</x:v>
      </x:c>
      <x:c r="U462" s="25" t="str">
        <x:v>Cancelled</x:v>
      </x:c>
      <x:c r="V462" s="29" t="n">
        <x:v>5</x:v>
      </x:c>
    </x:row>
    <x:row r="463">
      <x:c r="A463" s="23" t="str">
        <x:v>MAN-2025-00462</x:v>
      </x:c>
      <x:c r="B463" s="24" t="n">
        <x:v>45818</x:v>
      </x:c>
      <x:c r="C463" s="25" t="str">
        <x:v>Mansoura</x:v>
      </x:c>
      <x:c r="D463" s="25" t="str">
        <x:v>Mansoura City</x:v>
      </x:c>
      <x:c r="E463" s="25" t="str">
        <x:v>Salma Mansour</x:v>
      </x:c>
      <x:c r="F463" s="25" t="str">
        <x:v>Amr Mansour</x:v>
      </x:c>
      <x:c r="G463" s="25" t="str">
        <x:v>Consumer</x:v>
      </x:c>
      <x:c r="H463" s="25" t="str">
        <x:v>Website</x:v>
      </x:c>
      <x:c r="I463" s="25" t="str">
        <x:v>Electronics</x:v>
      </x:c>
      <x:c r="J463" s="25" t="str">
        <x:v>Smartphone</x:v>
      </x:c>
      <x:c r="K463" s="25" t="n">
        <x:v>6</x:v>
      </x:c>
      <x:c r="L463" s="26" t="n">
        <x:v>12313</x:v>
      </x:c>
      <x:c r="M463" s="27" t="n">
        <x:v>0.05</x:v>
      </x:c>
      <x:c r="N463" s="26" t="n">
        <x:f>K463*L463</x:f>
        <x:v>73878</x:v>
      </x:c>
      <x:c r="O463" s="26" t="n">
        <x:f>N463*(1-M463)</x:f>
        <x:v>70184.09999999999</x:v>
      </x:c>
      <x:c r="P463" s="26" t="n">
        <x:v>10902</x:v>
      </x:c>
      <x:c r="Q463" s="26" t="n">
        <x:f>K463*P463</x:f>
        <x:v>65412</x:v>
      </x:c>
      <x:c r="R463" s="26" t="n">
        <x:f>O463-Q463</x:f>
        <x:v>4772.099999999991</x:v>
      </x:c>
      <x:c r="S463" s="28" t="n">
        <x:f>IF(O463=0,0,R463/O463)</x:f>
        <x:v>0.06799403283649703</x:v>
      </x:c>
      <x:c r="T463" s="25" t="str">
        <x:v>Bank Transfer</x:v>
      </x:c>
      <x:c r="U463" s="25" t="str">
        <x:v>Returned</x:v>
      </x:c>
      <x:c r="V463" s="29" t="n">
        <x:v>4</x:v>
      </x:c>
    </x:row>
    <x:row r="464">
      <x:c r="A464" s="23" t="str">
        <x:v>MAN-2025-00463</x:v>
      </x:c>
      <x:c r="B464" s="24" t="n">
        <x:v>45730</x:v>
      </x:c>
      <x:c r="C464" s="25" t="str">
        <x:v>Mansoura</x:v>
      </x:c>
      <x:c r="D464" s="25" t="str">
        <x:v>Sherbin</x:v>
      </x:c>
      <x:c r="E464" s="25" t="str">
        <x:v>Aya Farouk</x:v>
      </x:c>
      <x:c r="F464" s="25" t="str">
        <x:v>Salma Hassan</x:v>
      </x:c>
      <x:c r="G464" s="25" t="str">
        <x:v>Consumer</x:v>
      </x:c>
      <x:c r="H464" s="25" t="str">
        <x:v>Retail Store</x:v>
      </x:c>
      <x:c r="I464" s="25" t="str">
        <x:v>Electronics</x:v>
      </x:c>
      <x:c r="J464" s="25" t="str">
        <x:v>Tablet</x:v>
      </x:c>
      <x:c r="K464" s="25" t="n">
        <x:v>4</x:v>
      </x:c>
      <x:c r="L464" s="26" t="n">
        <x:v>9239</x:v>
      </x:c>
      <x:c r="M464" s="27" t="n">
        <x:v>0.05</x:v>
      </x:c>
      <x:c r="N464" s="26" t="n">
        <x:f>K464*L464</x:f>
        <x:v>36956</x:v>
      </x:c>
      <x:c r="O464" s="26" t="n">
        <x:f>N464*(1-M464)</x:f>
        <x:v>35108.2</x:v>
      </x:c>
      <x:c r="P464" s="26" t="n">
        <x:v>7289</x:v>
      </x:c>
      <x:c r="Q464" s="26" t="n">
        <x:f>K464*P464</x:f>
        <x:v>29156</x:v>
      </x:c>
      <x:c r="R464" s="26" t="n">
        <x:f>O464-Q464</x:f>
        <x:v>5952.199999999997</x:v>
      </x:c>
      <x:c r="S464" s="28" t="n">
        <x:f>IF(O464=0,0,R464/O464)</x:f>
        <x:v>0.1695387402373234</x:v>
      </x:c>
      <x:c r="T464" s="25" t="str">
        <x:v>Digital Wallet</x:v>
      </x:c>
      <x:c r="U464" s="25" t="str">
        <x:v>Completed</x:v>
      </x:c>
      <x:c r="V464" s="29" t="n">
        <x:v>4</x:v>
      </x:c>
    </x:row>
    <x:row r="465">
      <x:c r="A465" s="23" t="str">
        <x:v>MAN-2025-00464</x:v>
      </x:c>
      <x:c r="B465" s="24" t="n">
        <x:v>45765</x:v>
      </x:c>
      <x:c r="C465" s="25" t="str">
        <x:v>Mansoura</x:v>
      </x:c>
      <x:c r="D465" s="25" t="str">
        <x:v>Talkha</x:v>
      </x:c>
      <x:c r="E465" s="25" t="str">
        <x:v>Youssef Fathy</x:v>
      </x:c>
      <x:c r="F465" s="25" t="str">
        <x:v>Karim Fathy</x:v>
      </x:c>
      <x:c r="G465" s="25" t="str">
        <x:v>Small Business</x:v>
      </x:c>
      <x:c r="H465" s="25" t="str">
        <x:v>Retail Store</x:v>
      </x:c>
      <x:c r="I465" s="25" t="str">
        <x:v>Electronics</x:v>
      </x:c>
      <x:c r="J465" s="25" t="str">
        <x:v>Smartphone</x:v>
      </x:c>
      <x:c r="K465" s="25" t="n">
        <x:v>1</x:v>
      </x:c>
      <x:c r="L465" s="26" t="n">
        <x:v>13227</x:v>
      </x:c>
      <x:c r="M465" s="27" t="n">
        <x:v>0</x:v>
      </x:c>
      <x:c r="N465" s="26" t="n">
        <x:f>K465*L465</x:f>
        <x:v>13227</x:v>
      </x:c>
      <x:c r="O465" s="26" t="n">
        <x:f>N465*(1-M465)</x:f>
        <x:v>13227</x:v>
      </x:c>
      <x:c r="P465" s="26" t="n">
        <x:v>10854</x:v>
      </x:c>
      <x:c r="Q465" s="26" t="n">
        <x:f>K465*P465</x:f>
        <x:v>10854</x:v>
      </x:c>
      <x:c r="R465" s="26" t="n">
        <x:f>O465-Q465</x:f>
        <x:v>2373</x:v>
      </x:c>
      <x:c r="S465" s="28" t="n">
        <x:f>IF(O465=0,0,R465/O465)</x:f>
        <x:v>0.17940576094352462</x:v>
      </x:c>
      <x:c r="T465" s="25" t="str">
        <x:v>Bank Transfer</x:v>
      </x:c>
      <x:c r="U465" s="25" t="str">
        <x:v>Completed</x:v>
      </x:c>
      <x:c r="V465" s="29" t="n">
        <x:v>4</x:v>
      </x:c>
    </x:row>
    <x:row r="466">
      <x:c r="A466" s="23" t="str">
        <x:v>MAN-2025-00465</x:v>
      </x:c>
      <x:c r="B466" s="24" t="n">
        <x:v>45663</x:v>
      </x:c>
      <x:c r="C466" s="25" t="str">
        <x:v>Mansoura</x:v>
      </x:c>
      <x:c r="D466" s="25" t="str">
        <x:v>Sherbin</x:v>
      </x:c>
      <x:c r="E466" s="25" t="str">
        <x:v>Youssef Fathy</x:v>
      </x:c>
      <x:c r="F466" s="25" t="str">
        <x:v>Mostafa Fathy</x:v>
      </x:c>
      <x:c r="G466" s="25" t="str">
        <x:v>Consumer</x:v>
      </x:c>
      <x:c r="H466" s="25" t="str">
        <x:v>Retail Store</x:v>
      </x:c>
      <x:c r="I466" s="25" t="str">
        <x:v>Electronics</x:v>
      </x:c>
      <x:c r="J466" s="25" t="str">
        <x:v>Tablet</x:v>
      </x:c>
      <x:c r="K466" s="25" t="n">
        <x:v>6</x:v>
      </x:c>
      <x:c r="L466" s="26" t="n">
        <x:v>9513</x:v>
      </x:c>
      <x:c r="M466" s="27" t="n">
        <x:v>0</x:v>
      </x:c>
      <x:c r="N466" s="26" t="n">
        <x:f>K466*L466</x:f>
        <x:v>57078</x:v>
      </x:c>
      <x:c r="O466" s="26" t="n">
        <x:f>N466*(1-M466)</x:f>
        <x:v>57078</x:v>
      </x:c>
      <x:c r="P466" s="26" t="n">
        <x:v>7205</x:v>
      </x:c>
      <x:c r="Q466" s="26" t="n">
        <x:f>K466*P466</x:f>
        <x:v>43230</x:v>
      </x:c>
      <x:c r="R466" s="26" t="n">
        <x:f>O466-Q466</x:f>
        <x:v>13848</x:v>
      </x:c>
      <x:c r="S466" s="28" t="n">
        <x:f>IF(O466=0,0,R466/O466)</x:f>
        <x:v>0.24261536844318302</x:v>
      </x:c>
      <x:c r="T466" s="25" t="str">
        <x:v>Cash</x:v>
      </x:c>
      <x:c r="U466" s="25" t="str">
        <x:v>Completed</x:v>
      </x:c>
      <x:c r="V466" s="29" t="n">
        <x:v>5</x:v>
      </x:c>
    </x:row>
    <x:row r="467">
      <x:c r="A467" s="23" t="str">
        <x:v>MAN-2025-00466</x:v>
      </x:c>
      <x:c r="B467" s="24" t="n">
        <x:v>45792</x:v>
      </x:c>
      <x:c r="C467" s="25" t="str">
        <x:v>Mansoura</x:v>
      </x:c>
      <x:c r="D467" s="25" t="str">
        <x:v>Sherbin</x:v>
      </x:c>
      <x:c r="E467" s="25" t="str">
        <x:v>Youssef Fathy</x:v>
      </x:c>
      <x:c r="F467" s="25" t="str">
        <x:v>Aya Adel</x:v>
      </x:c>
      <x:c r="G467" s="25" t="str">
        <x:v>Corporate</x:v>
      </x:c>
      <x:c r="H467" s="25" t="str">
        <x:v>Retail Store</x:v>
      </x:c>
      <x:c r="I467" s="25" t="str">
        <x:v>Furniture</x:v>
      </x:c>
      <x:c r="J467" s="25" t="str">
        <x:v>Office Chair</x:v>
      </x:c>
      <x:c r="K467" s="25" t="n">
        <x:v>1</x:v>
      </x:c>
      <x:c r="L467" s="26" t="n">
        <x:v>4008</x:v>
      </x:c>
      <x:c r="M467" s="27" t="n">
        <x:v>0</x:v>
      </x:c>
      <x:c r="N467" s="26" t="n">
        <x:f>K467*L467</x:f>
        <x:v>4008</x:v>
      </x:c>
      <x:c r="O467" s="26" t="n">
        <x:f>N467*(1-M467)</x:f>
        <x:v>4008</x:v>
      </x:c>
      <x:c r="P467" s="26" t="n">
        <x:v>2946</x:v>
      </x:c>
      <x:c r="Q467" s="26" t="n">
        <x:f>K467*P467</x:f>
        <x:v>2946</x:v>
      </x:c>
      <x:c r="R467" s="26" t="n">
        <x:f>O467-Q467</x:f>
        <x:v>1062</x:v>
      </x:c>
      <x:c r="S467" s="28" t="n">
        <x:f>IF(O467=0,0,R467/O467)</x:f>
        <x:v>0.26497005988023953</x:v>
      </x:c>
      <x:c r="T467" s="25" t="str">
        <x:v>Credit Card</x:v>
      </x:c>
      <x:c r="U467" s="25" t="str">
        <x:v>Completed</x:v>
      </x:c>
      <x:c r="V467" s="29" t="n">
        <x:v>5</x:v>
      </x:c>
    </x:row>
    <x:row r="468">
      <x:c r="A468" s="23" t="str">
        <x:v>MAN-2025-00467</x:v>
      </x:c>
      <x:c r="B468" s="24" t="n">
        <x:v>45670</x:v>
      </x:c>
      <x:c r="C468" s="25" t="str">
        <x:v>Mansoura</x:v>
      </x:c>
      <x:c r="D468" s="25" t="str">
        <x:v>Talkha</x:v>
      </x:c>
      <x:c r="E468" s="25" t="str">
        <x:v>Aya Farouk</x:v>
      </x:c>
      <x:c r="F468" s="25" t="str">
        <x:v>Salma Samir</x:v>
      </x:c>
      <x:c r="G468" s="25" t="str">
        <x:v>Corporate</x:v>
      </x:c>
      <x:c r="H468" s="25" t="str">
        <x:v>Phone Order</x:v>
      </x:c>
      <x:c r="I468" s="25" t="str">
        <x:v>Office Supplies</x:v>
      </x:c>
      <x:c r="J468" s="25" t="str">
        <x:v>Ink Cartridge</x:v>
      </x:c>
      <x:c r="K468" s="25" t="n">
        <x:v>1</x:v>
      </x:c>
      <x:c r="L468" s="26" t="n">
        <x:v>811</x:v>
      </x:c>
      <x:c r="M468" s="27" t="n">
        <x:v>0.1</x:v>
      </x:c>
      <x:c r="N468" s="26" t="n">
        <x:f>K468*L468</x:f>
        <x:v>811</x:v>
      </x:c>
      <x:c r="O468" s="26" t="n">
        <x:f>N468*(1-M468)</x:f>
        <x:v>729.9</x:v>
      </x:c>
      <x:c r="P468" s="26" t="n">
        <x:v>572</x:v>
      </x:c>
      <x:c r="Q468" s="26" t="n">
        <x:f>K468*P468</x:f>
        <x:v>572</x:v>
      </x:c>
      <x:c r="R468" s="26" t="n">
        <x:f>O468-Q468</x:f>
        <x:v>157.89999999999998</x:v>
      </x:c>
      <x:c r="S468" s="28" t="n">
        <x:f>IF(O468=0,0,R468/O468)</x:f>
        <x:v>0.21633100424715712</x:v>
      </x:c>
      <x:c r="T468" s="25" t="str">
        <x:v>Credit Card</x:v>
      </x:c>
      <x:c r="U468" s="25" t="str">
        <x:v>Completed</x:v>
      </x:c>
      <x:c r="V468" s="29" t="n">
        <x:v>5</x:v>
      </x:c>
    </x:row>
    <x:row r="469">
      <x:c r="A469" s="23" t="str">
        <x:v>MAN-2025-00468</x:v>
      </x:c>
      <x:c r="B469" s="24" t="n">
        <x:v>45922</x:v>
      </x:c>
      <x:c r="C469" s="25" t="str">
        <x:v>Mansoura</x:v>
      </x:c>
      <x:c r="D469" s="25" t="str">
        <x:v>Mit Ghamr</x:v>
      </x:c>
      <x:c r="E469" s="25" t="str">
        <x:v>Aya Farouk</x:v>
      </x:c>
      <x:c r="F469" s="25" t="str">
        <x:v>Nour Nasser</x:v>
      </x:c>
      <x:c r="G469" s="25" t="str">
        <x:v>Consumer</x:v>
      </x:c>
      <x:c r="H469" s="25" t="str">
        <x:v>Retail Store</x:v>
      </x:c>
      <x:c r="I469" s="25" t="str">
        <x:v>Furniture</x:v>
      </x:c>
      <x:c r="J469" s="25" t="str">
        <x:v>Bookshelf</x:v>
      </x:c>
      <x:c r="K469" s="25" t="n">
        <x:v>2</x:v>
      </x:c>
      <x:c r="L469" s="26" t="n">
        <x:v>3201</x:v>
      </x:c>
      <x:c r="M469" s="27" t="n">
        <x:v>0.1</x:v>
      </x:c>
      <x:c r="N469" s="26" t="n">
        <x:f>K469*L469</x:f>
        <x:v>6402</x:v>
      </x:c>
      <x:c r="O469" s="26" t="n">
        <x:f>N469*(1-M469)</x:f>
        <x:v>5761.8</x:v>
      </x:c>
      <x:c r="P469" s="26" t="n">
        <x:v>2173</x:v>
      </x:c>
      <x:c r="Q469" s="26" t="n">
        <x:f>K469*P469</x:f>
        <x:v>4346</x:v>
      </x:c>
      <x:c r="R469" s="26" t="n">
        <x:f>O469-Q469</x:f>
        <x:v>1415.8000000000002</x:v>
      </x:c>
      <x:c r="S469" s="28" t="n">
        <x:f>IF(O469=0,0,R469/O469)</x:f>
        <x:v>0.2457218230414107</x:v>
      </x:c>
      <x:c r="T469" s="25" t="str">
        <x:v>Credit Card</x:v>
      </x:c>
      <x:c r="U469" s="25" t="str">
        <x:v>Completed</x:v>
      </x:c>
      <x:c r="V469" s="29" t="n">
        <x:v>4</x:v>
      </x:c>
    </x:row>
    <x:row r="470">
      <x:c r="A470" s="23" t="str">
        <x:v>MAN-2025-00469</x:v>
      </x:c>
      <x:c r="B470" s="24" t="n">
        <x:v>45990</x:v>
      </x:c>
      <x:c r="C470" s="25" t="str">
        <x:v>Mansoura</x:v>
      </x:c>
      <x:c r="D470" s="25" t="str">
        <x:v>Talkha</x:v>
      </x:c>
      <x:c r="E470" s="25" t="str">
        <x:v>Youssef Fathy</x:v>
      </x:c>
      <x:c r="F470" s="25" t="str">
        <x:v>Mariam Ibrahim</x:v>
      </x:c>
      <x:c r="G470" s="25" t="str">
        <x:v>Corporate</x:v>
      </x:c>
      <x:c r="H470" s="25" t="str">
        <x:v>Mobile App</x:v>
      </x:c>
      <x:c r="I470" s="25" t="str">
        <x:v>Furniture</x:v>
      </x:c>
      <x:c r="J470" s="25" t="str">
        <x:v>Desk</x:v>
      </x:c>
      <x:c r="K470" s="25" t="n">
        <x:v>3</x:v>
      </x:c>
      <x:c r="L470" s="26" t="n">
        <x:v>4943</x:v>
      </x:c>
      <x:c r="M470" s="27" t="n">
        <x:v>0.1</x:v>
      </x:c>
      <x:c r="N470" s="26" t="n">
        <x:f>K470*L470</x:f>
        <x:v>14829</x:v>
      </x:c>
      <x:c r="O470" s="26" t="n">
        <x:f>N470*(1-M470)</x:f>
        <x:v>13346.1</x:v>
      </x:c>
      <x:c r="P470" s="26" t="n">
        <x:v>3854</x:v>
      </x:c>
      <x:c r="Q470" s="26" t="n">
        <x:f>K470*P470</x:f>
        <x:v>11562</x:v>
      </x:c>
      <x:c r="R470" s="26" t="n">
        <x:f>O470-Q470</x:f>
        <x:v>1784.1000000000004</x:v>
      </x:c>
      <x:c r="S470" s="28" t="n">
        <x:f>IF(O470=0,0,R470/O470)</x:f>
        <x:v>0.13367950187695285</x:v>
      </x:c>
      <x:c r="T470" s="25" t="str">
        <x:v>Credit Card</x:v>
      </x:c>
      <x:c r="U470" s="25" t="str">
        <x:v>Completed</x:v>
      </x:c>
      <x:c r="V470" s="29" t="n">
        <x:v>4</x:v>
      </x:c>
    </x:row>
    <x:row r="471">
      <x:c r="A471" s="23" t="str">
        <x:v>MAN-2025-00470</x:v>
      </x:c>
      <x:c r="B471" s="24" t="n">
        <x:v>45852</x:v>
      </x:c>
      <x:c r="C471" s="25" t="str">
        <x:v>Mansoura</x:v>
      </x:c>
      <x:c r="D471" s="25" t="str">
        <x:v>Sherbin</x:v>
      </x:c>
      <x:c r="E471" s="25" t="str">
        <x:v>Salma Mansour</x:v>
      </x:c>
      <x:c r="F471" s="25" t="str">
        <x:v>Mostafa Ibrahim</x:v>
      </x:c>
      <x:c r="G471" s="25" t="str">
        <x:v>Small Business</x:v>
      </x:c>
      <x:c r="H471" s="25" t="str">
        <x:v>Retail Store</x:v>
      </x:c>
      <x:c r="I471" s="25" t="str">
        <x:v>Home Appliances</x:v>
      </x:c>
      <x:c r="J471" s="25" t="str">
        <x:v>Blender</x:v>
      </x:c>
      <x:c r="K471" s="25" t="n">
        <x:v>1</x:v>
      </x:c>
      <x:c r="L471" s="26" t="n">
        <x:v>1819</x:v>
      </x:c>
      <x:c r="M471" s="27" t="n">
        <x:v>0.1</x:v>
      </x:c>
      <x:c r="N471" s="26" t="n">
        <x:f>K471*L471</x:f>
        <x:v>1819</x:v>
      </x:c>
      <x:c r="O471" s="26" t="n">
        <x:f>N471*(1-M471)</x:f>
        <x:v>1637.1000000000001</x:v>
      </x:c>
      <x:c r="P471" s="26" t="n">
        <x:v>1257</x:v>
      </x:c>
      <x:c r="Q471" s="26" t="n">
        <x:f>K471*P471</x:f>
        <x:v>1257</x:v>
      </x:c>
      <x:c r="R471" s="26" t="n">
        <x:f>O471-Q471</x:f>
        <x:v>380.10000000000014</x:v>
      </x:c>
      <x:c r="S471" s="28" t="n">
        <x:f>IF(O471=0,0,R471/O471)</x:f>
        <x:v>0.2321788528495511</x:v>
      </x:c>
      <x:c r="T471" s="25" t="str">
        <x:v>Cash</x:v>
      </x:c>
      <x:c r="U471" s="25" t="str">
        <x:v>Cancelled</x:v>
      </x:c>
      <x:c r="V471" s="29" t="n">
        <x:v>5</x:v>
      </x:c>
    </x:row>
    <x:row r="472">
      <x:c r="A472" s="23" t="str">
        <x:v>MAN-2025-00471</x:v>
      </x:c>
      <x:c r="B472" s="24" t="n">
        <x:v>45788</x:v>
      </x:c>
      <x:c r="C472" s="25" t="str">
        <x:v>Mansoura</x:v>
      </x:c>
      <x:c r="D472" s="25" t="str">
        <x:v>Mansoura City</x:v>
      </x:c>
      <x:c r="E472" s="25" t="str">
        <x:v>Aya Farouk</x:v>
      </x:c>
      <x:c r="F472" s="25" t="str">
        <x:v>Aya Sayed</x:v>
      </x:c>
      <x:c r="G472" s="25" t="str">
        <x:v>Small Business</x:v>
      </x:c>
      <x:c r="H472" s="25" t="str">
        <x:v>Phone Order</x:v>
      </x:c>
      <x:c r="I472" s="25" t="str">
        <x:v>Furniture</x:v>
      </x:c>
      <x:c r="J472" s="25" t="str">
        <x:v>Office Chair</x:v>
      </x:c>
      <x:c r="K472" s="25" t="n">
        <x:v>2</x:v>
      </x:c>
      <x:c r="L472" s="26" t="n">
        <x:v>4015</x:v>
      </x:c>
      <x:c r="M472" s="27" t="n">
        <x:v>0.15</x:v>
      </x:c>
      <x:c r="N472" s="26" t="n">
        <x:f>K472*L472</x:f>
        <x:v>8030</x:v>
      </x:c>
      <x:c r="O472" s="26" t="n">
        <x:f>N472*(1-M472)</x:f>
        <x:v>6825.5</x:v>
      </x:c>
      <x:c r="P472" s="26" t="n">
        <x:v>2922</x:v>
      </x:c>
      <x:c r="Q472" s="26" t="n">
        <x:f>K472*P472</x:f>
        <x:v>5844</x:v>
      </x:c>
      <x:c r="R472" s="26" t="n">
        <x:f>O472-Q472</x:f>
        <x:v>981.5</x:v>
      </x:c>
      <x:c r="S472" s="28" t="n">
        <x:f>IF(O472=0,0,R472/O472)</x:f>
        <x:v>0.1437989890850487</x:v>
      </x:c>
      <x:c r="T472" s="25" t="str">
        <x:v>Digital Wallet</x:v>
      </x:c>
      <x:c r="U472" s="25" t="str">
        <x:v>Completed</x:v>
      </x:c>
      <x:c r="V472" s="29" t="n">
        <x:v>4</x:v>
      </x:c>
    </x:row>
    <x:row r="473">
      <x:c r="A473" s="23" t="str">
        <x:v>MAN-2025-00472</x:v>
      </x:c>
      <x:c r="B473" s="24" t="n">
        <x:v>45882</x:v>
      </x:c>
      <x:c r="C473" s="25" t="str">
        <x:v>Mansoura</x:v>
      </x:c>
      <x:c r="D473" s="25" t="str">
        <x:v>Mansoura City</x:v>
      </x:c>
      <x:c r="E473" s="25" t="str">
        <x:v>Youssef Fathy</x:v>
      </x:c>
      <x:c r="F473" s="25" t="str">
        <x:v>Mariam Adel</x:v>
      </x:c>
      <x:c r="G473" s="25" t="str">
        <x:v>Small Business</x:v>
      </x:c>
      <x:c r="H473" s="25" t="str">
        <x:v>Mobile App</x:v>
      </x:c>
      <x:c r="I473" s="25" t="str">
        <x:v>Office Supplies</x:v>
      </x:c>
      <x:c r="J473" s="25" t="str">
        <x:v>Printer</x:v>
      </x:c>
      <x:c r="K473" s="25" t="n">
        <x:v>4</x:v>
      </x:c>
      <x:c r="L473" s="26" t="n">
        <x:v>6705</x:v>
      </x:c>
      <x:c r="M473" s="27" t="n">
        <x:v>0.15</x:v>
      </x:c>
      <x:c r="N473" s="26" t="n">
        <x:f>K473*L473</x:f>
        <x:v>26820</x:v>
      </x:c>
      <x:c r="O473" s="26" t="n">
        <x:f>N473*(1-M473)</x:f>
        <x:v>22797</x:v>
      </x:c>
      <x:c r="P473" s="26" t="n">
        <x:v>5272</x:v>
      </x:c>
      <x:c r="Q473" s="26" t="n">
        <x:f>K473*P473</x:f>
        <x:v>21088</x:v>
      </x:c>
      <x:c r="R473" s="26" t="n">
        <x:f>O473-Q473</x:f>
        <x:v>1709</x:v>
      </x:c>
      <x:c r="S473" s="28" t="n">
        <x:f>IF(O473=0,0,R473/O473)</x:f>
        <x:v>0.07496600429881124</x:v>
      </x:c>
      <x:c r="T473" s="25" t="str">
        <x:v>Credit Card</x:v>
      </x:c>
      <x:c r="U473" s="25" t="str">
        <x:v>Completed</x:v>
      </x:c>
      <x:c r="V473" s="29" t="n">
        <x:v>5</x:v>
      </x:c>
    </x:row>
    <x:row r="474">
      <x:c r="A474" s="23" t="str">
        <x:v>MAN-2025-00473</x:v>
      </x:c>
      <x:c r="B474" s="24" t="n">
        <x:v>45979</x:v>
      </x:c>
      <x:c r="C474" s="25" t="str">
        <x:v>Mansoura</x:v>
      </x:c>
      <x:c r="D474" s="25" t="str">
        <x:v>Mansoura City</x:v>
      </x:c>
      <x:c r="E474" s="25" t="str">
        <x:v>Ali Sayed</x:v>
      </x:c>
      <x:c r="F474" s="25" t="str">
        <x:v>Karim Khalil</x:v>
      </x:c>
      <x:c r="G474" s="25" t="str">
        <x:v>Consumer</x:v>
      </x:c>
      <x:c r="H474" s="25" t="str">
        <x:v>Website</x:v>
      </x:c>
      <x:c r="I474" s="25" t="str">
        <x:v>Furniture</x:v>
      </x:c>
      <x:c r="J474" s="25" t="str">
        <x:v>Sofa</x:v>
      </x:c>
      <x:c r="K474" s="25" t="n">
        <x:v>4</x:v>
      </x:c>
      <x:c r="L474" s="26" t="n">
        <x:v>12533</x:v>
      </x:c>
      <x:c r="M474" s="27" t="n">
        <x:v>0</x:v>
      </x:c>
      <x:c r="N474" s="26" t="n">
        <x:f>K474*L474</x:f>
        <x:v>50132</x:v>
      </x:c>
      <x:c r="O474" s="26" t="n">
        <x:f>N474*(1-M474)</x:f>
        <x:v>50132</x:v>
      </x:c>
      <x:c r="P474" s="26" t="n">
        <x:v>10565</x:v>
      </x:c>
      <x:c r="Q474" s="26" t="n">
        <x:f>K474*P474</x:f>
        <x:v>42260</x:v>
      </x:c>
      <x:c r="R474" s="26" t="n">
        <x:f>O474-Q474</x:f>
        <x:v>7872</x:v>
      </x:c>
      <x:c r="S474" s="28" t="n">
        <x:f>IF(O474=0,0,R474/O474)</x:f>
        <x:v>0.15702545280459587</x:v>
      </x:c>
      <x:c r="T474" s="25" t="str">
        <x:v>Digital Wallet</x:v>
      </x:c>
      <x:c r="U474" s="25" t="str">
        <x:v>Completed</x:v>
      </x:c>
      <x:c r="V474" s="29" t="n">
        <x:v>5</x:v>
      </x:c>
    </x:row>
    <x:row r="475">
      <x:c r="A475" s="23" t="str">
        <x:v>MAN-2025-00474</x:v>
      </x:c>
      <x:c r="B475" s="24" t="n">
        <x:v>45788</x:v>
      </x:c>
      <x:c r="C475" s="25" t="str">
        <x:v>Mansoura</x:v>
      </x:c>
      <x:c r="D475" s="25" t="str">
        <x:v>Aga</x:v>
      </x:c>
      <x:c r="E475" s="25" t="str">
        <x:v>Salma Mansour</x:v>
      </x:c>
      <x:c r="F475" s="25" t="str">
        <x:v>Ali Sayed</x:v>
      </x:c>
      <x:c r="G475" s="25" t="str">
        <x:v>Small Business</x:v>
      </x:c>
      <x:c r="H475" s="25" t="str">
        <x:v>Phone Order</x:v>
      </x:c>
      <x:c r="I475" s="25" t="str">
        <x:v>Furniture</x:v>
      </x:c>
      <x:c r="J475" s="25" t="str">
        <x:v>Desk</x:v>
      </x:c>
      <x:c r="K475" s="25" t="n">
        <x:v>1</x:v>
      </x:c>
      <x:c r="L475" s="26" t="n">
        <x:v>5305</x:v>
      </x:c>
      <x:c r="M475" s="27" t="n">
        <x:v>0</x:v>
      </x:c>
      <x:c r="N475" s="26" t="n">
        <x:f>K475*L475</x:f>
        <x:v>5305</x:v>
      </x:c>
      <x:c r="O475" s="26" t="n">
        <x:f>N475*(1-M475)</x:f>
        <x:v>5305</x:v>
      </x:c>
      <x:c r="P475" s="26" t="n">
        <x:v>3861</x:v>
      </x:c>
      <x:c r="Q475" s="26" t="n">
        <x:f>K475*P475</x:f>
        <x:v>3861</x:v>
      </x:c>
      <x:c r="R475" s="26" t="n">
        <x:f>O475-Q475</x:f>
        <x:v>1444</x:v>
      </x:c>
      <x:c r="S475" s="28" t="n">
        <x:f>IF(O475=0,0,R475/O475)</x:f>
        <x:v>0.272196041470311</x:v>
      </x:c>
      <x:c r="T475" s="25" t="str">
        <x:v>Cash</x:v>
      </x:c>
      <x:c r="U475" s="25" t="str">
        <x:v>Completed</x:v>
      </x:c>
      <x:c r="V475" s="29" t="n">
        <x:v>4</x:v>
      </x:c>
    </x:row>
    <x:row r="476">
      <x:c r="A476" s="23" t="str">
        <x:v>MAN-2025-00475</x:v>
      </x:c>
      <x:c r="B476" s="24" t="n">
        <x:v>45759</x:v>
      </x:c>
      <x:c r="C476" s="25" t="str">
        <x:v>Mansoura</x:v>
      </x:c>
      <x:c r="D476" s="25" t="str">
        <x:v>Mansoura City</x:v>
      </x:c>
      <x:c r="E476" s="25" t="str">
        <x:v>Ali Sayed</x:v>
      </x:c>
      <x:c r="F476" s="25" t="str">
        <x:v>Aya Adel</x:v>
      </x:c>
      <x:c r="G476" s="25" t="str">
        <x:v>Corporate</x:v>
      </x:c>
      <x:c r="H476" s="25" t="str">
        <x:v>Mobile App</x:v>
      </x:c>
      <x:c r="I476" s="25" t="str">
        <x:v>Home Appliances</x:v>
      </x:c>
      <x:c r="J476" s="25" t="str">
        <x:v>Air Conditioner</x:v>
      </x:c>
      <x:c r="K476" s="25" t="n">
        <x:v>5</x:v>
      </x:c>
      <x:c r="L476" s="26" t="n">
        <x:v>21187</x:v>
      </x:c>
      <x:c r="M476" s="27" t="n">
        <x:v>0.1</x:v>
      </x:c>
      <x:c r="N476" s="26" t="n">
        <x:f>K476*L476</x:f>
        <x:v>105935</x:v>
      </x:c>
      <x:c r="O476" s="26" t="n">
        <x:f>N476*(1-M476)</x:f>
        <x:v>95341.5</x:v>
      </x:c>
      <x:c r="P476" s="26" t="n">
        <x:v>18240</x:v>
      </x:c>
      <x:c r="Q476" s="26" t="n">
        <x:f>K476*P476</x:f>
        <x:v>91200</x:v>
      </x:c>
      <x:c r="R476" s="26" t="n">
        <x:f>O476-Q476</x:f>
        <x:v>4141.5</x:v>
      </x:c>
      <x:c r="S476" s="28" t="n">
        <x:f>IF(O476=0,0,R476/O476)</x:f>
        <x:v>0.043438586554648294</x:v>
      </x:c>
      <x:c r="T476" s="25" t="str">
        <x:v>Debit Card</x:v>
      </x:c>
      <x:c r="U476" s="25" t="str">
        <x:v>Cancelled</x:v>
      </x:c>
      <x:c r="V476" s="29" t="n">
        <x:v>4</x:v>
      </x:c>
    </x:row>
    <x:row r="477">
      <x:c r="A477" s="23" t="str">
        <x:v>MAN-2025-00476</x:v>
      </x:c>
      <x:c r="B477" s="24" t="n">
        <x:v>45845</x:v>
      </x:c>
      <x:c r="C477" s="25" t="str">
        <x:v>Mansoura</x:v>
      </x:c>
      <x:c r="D477" s="25" t="str">
        <x:v>Mansoura City</x:v>
      </x:c>
      <x:c r="E477" s="25" t="str">
        <x:v>Ali Sayed</x:v>
      </x:c>
      <x:c r="F477" s="25" t="str">
        <x:v>Hana Fathy</x:v>
      </x:c>
      <x:c r="G477" s="25" t="str">
        <x:v>Corporate</x:v>
      </x:c>
      <x:c r="H477" s="25" t="str">
        <x:v>Retail Store</x:v>
      </x:c>
      <x:c r="I477" s="25" t="str">
        <x:v>Home Appliances</x:v>
      </x:c>
      <x:c r="J477" s="25" t="str">
        <x:v>Blender</x:v>
      </x:c>
      <x:c r="K477" s="25" t="n">
        <x:v>3</x:v>
      </x:c>
      <x:c r="L477" s="26" t="n">
        <x:v>1832</x:v>
      </x:c>
      <x:c r="M477" s="27" t="n">
        <x:v>0</x:v>
      </x:c>
      <x:c r="N477" s="26" t="n">
        <x:f>K477*L477</x:f>
        <x:v>5496</x:v>
      </x:c>
      <x:c r="O477" s="26" t="n">
        <x:f>N477*(1-M477)</x:f>
        <x:v>5496</x:v>
      </x:c>
      <x:c r="P477" s="26" t="n">
        <x:v>1247</x:v>
      </x:c>
      <x:c r="Q477" s="26" t="n">
        <x:f>K477*P477</x:f>
        <x:v>3741</x:v>
      </x:c>
      <x:c r="R477" s="26" t="n">
        <x:f>O477-Q477</x:f>
        <x:v>1755</x:v>
      </x:c>
      <x:c r="S477" s="28" t="n">
        <x:f>IF(O477=0,0,R477/O477)</x:f>
        <x:v>0.3193231441048035</x:v>
      </x:c>
      <x:c r="T477" s="25" t="str">
        <x:v>Digital Wallet</x:v>
      </x:c>
      <x:c r="U477" s="25" t="str">
        <x:v>Completed</x:v>
      </x:c>
      <x:c r="V477" s="29" t="n">
        <x:v>4</x:v>
      </x:c>
    </x:row>
    <x:row r="478">
      <x:c r="A478" s="23" t="str">
        <x:v>MAN-2025-00477</x:v>
      </x:c>
      <x:c r="B478" s="24" t="n">
        <x:v>45805</x:v>
      </x:c>
      <x:c r="C478" s="25" t="str">
        <x:v>Mansoura</x:v>
      </x:c>
      <x:c r="D478" s="25" t="str">
        <x:v>Talkha</x:v>
      </x:c>
      <x:c r="E478" s="25" t="str">
        <x:v>Ali Sayed</x:v>
      </x:c>
      <x:c r="F478" s="25" t="str">
        <x:v>Mariam Farouk</x:v>
      </x:c>
      <x:c r="G478" s="25" t="str">
        <x:v>Corporate</x:v>
      </x:c>
      <x:c r="H478" s="25" t="str">
        <x:v>Phone Order</x:v>
      </x:c>
      <x:c r="I478" s="25" t="str">
        <x:v>Electronics</x:v>
      </x:c>
      <x:c r="J478" s="25" t="str">
        <x:v>Smartphone</x:v>
      </x:c>
      <x:c r="K478" s="25" t="n">
        <x:v>5</x:v>
      </x:c>
      <x:c r="L478" s="26" t="n">
        <x:v>12782</x:v>
      </x:c>
      <x:c r="M478" s="27" t="n">
        <x:v>0.05</x:v>
      </x:c>
      <x:c r="N478" s="26" t="n">
        <x:f>K478*L478</x:f>
        <x:v>63910</x:v>
      </x:c>
      <x:c r="O478" s="26" t="n">
        <x:f>N478*(1-M478)</x:f>
        <x:v>60714.5</x:v>
      </x:c>
      <x:c r="P478" s="26" t="n">
        <x:v>11179</x:v>
      </x:c>
      <x:c r="Q478" s="26" t="n">
        <x:f>K478*P478</x:f>
        <x:v>55895</x:v>
      </x:c>
      <x:c r="R478" s="26" t="n">
        <x:f>O478-Q478</x:f>
        <x:v>4819.5</x:v>
      </x:c>
      <x:c r="S478" s="28" t="n">
        <x:f>IF(O478=0,0,R478/O478)</x:f>
        <x:v>0.07937971983628293</x:v>
      </x:c>
      <x:c r="T478" s="25" t="str">
        <x:v>Credit Card</x:v>
      </x:c>
      <x:c r="U478" s="25" t="str">
        <x:v>Completed</x:v>
      </x:c>
      <x:c r="V478" s="29" t="n">
        <x:v>3</x:v>
      </x:c>
    </x:row>
    <x:row r="479">
      <x:c r="A479" s="23" t="str">
        <x:v>MAN-2025-00478</x:v>
      </x:c>
      <x:c r="B479" s="24" t="n">
        <x:v>45755</x:v>
      </x:c>
      <x:c r="C479" s="25" t="str">
        <x:v>Mansoura</x:v>
      </x:c>
      <x:c r="D479" s="25" t="str">
        <x:v>Aga</x:v>
      </x:c>
      <x:c r="E479" s="25" t="str">
        <x:v>Youssef Fathy</x:v>
      </x:c>
      <x:c r="F479" s="25" t="str">
        <x:v>Salma Mansour</x:v>
      </x:c>
      <x:c r="G479" s="25" t="str">
        <x:v>Consumer</x:v>
      </x:c>
      <x:c r="H479" s="25" t="str">
        <x:v>Phone Order</x:v>
      </x:c>
      <x:c r="I479" s="25" t="str">
        <x:v>Electronics</x:v>
      </x:c>
      <x:c r="J479" s="25" t="str">
        <x:v>Headphones</x:v>
      </x:c>
      <x:c r="K479" s="25" t="n">
        <x:v>4</x:v>
      </x:c>
      <x:c r="L479" s="26" t="n">
        <x:v>1664</x:v>
      </x:c>
      <x:c r="M479" s="27" t="n">
        <x:v>0.1</x:v>
      </x:c>
      <x:c r="N479" s="26" t="n">
        <x:f>K479*L479</x:f>
        <x:v>6656</x:v>
      </x:c>
      <x:c r="O479" s="26" t="n">
        <x:f>N479*(1-M479)</x:f>
        <x:v>5990.400000000001</x:v>
      </x:c>
      <x:c r="P479" s="26" t="n">
        <x:v>1091</x:v>
      </x:c>
      <x:c r="Q479" s="26" t="n">
        <x:f>K479*P479</x:f>
        <x:v>4364</x:v>
      </x:c>
      <x:c r="R479" s="26" t="n">
        <x:f>O479-Q479</x:f>
        <x:v>1626.4000000000005</x:v>
      </x:c>
      <x:c r="S479" s="28" t="n">
        <x:f>IF(O479=0,0,R479/O479)</x:f>
        <x:v>0.27150106837606847</x:v>
      </x:c>
      <x:c r="T479" s="25" t="str">
        <x:v>Debit Card</x:v>
      </x:c>
      <x:c r="U479" s="25" t="str">
        <x:v>Returned</x:v>
      </x:c>
      <x:c r="V479" s="29" t="n">
        <x:v>4</x:v>
      </x:c>
    </x:row>
    <x:row r="480">
      <x:c r="A480" s="23" t="str">
        <x:v>MAN-2025-00479</x:v>
      </x:c>
      <x:c r="B480" s="24" t="n">
        <x:v>45771</x:v>
      </x:c>
      <x:c r="C480" s="25" t="str">
        <x:v>Mansoura</x:v>
      </x:c>
      <x:c r="D480" s="25" t="str">
        <x:v>Mit Ghamr</x:v>
      </x:c>
      <x:c r="E480" s="25" t="str">
        <x:v>Salma Mansour</x:v>
      </x:c>
      <x:c r="F480" s="25" t="str">
        <x:v>Ahmed Hassan</x:v>
      </x:c>
      <x:c r="G480" s="25" t="str">
        <x:v>Consumer</x:v>
      </x:c>
      <x:c r="H480" s="25" t="str">
        <x:v>Retail Store</x:v>
      </x:c>
      <x:c r="I480" s="25" t="str">
        <x:v>Office Supplies</x:v>
      </x:c>
      <x:c r="J480" s="25" t="str">
        <x:v>Calculator</x:v>
      </x:c>
      <x:c r="K480" s="25" t="n">
        <x:v>3</x:v>
      </x:c>
      <x:c r="L480" s="26" t="n">
        <x:v>437</x:v>
      </x:c>
      <x:c r="M480" s="27" t="n">
        <x:v>0.05</x:v>
      </x:c>
      <x:c r="N480" s="26" t="n">
        <x:f>K480*L480</x:f>
        <x:v>1311</x:v>
      </x:c>
      <x:c r="O480" s="26" t="n">
        <x:f>N480*(1-M480)</x:f>
        <x:v>1245.45</x:v>
      </x:c>
      <x:c r="P480" s="26" t="n">
        <x:v>277</x:v>
      </x:c>
      <x:c r="Q480" s="26" t="n">
        <x:f>K480*P480</x:f>
        <x:v>831</x:v>
      </x:c>
      <x:c r="R480" s="26" t="n">
        <x:f>O480-Q480</x:f>
        <x:v>414.45000000000005</x:v>
      </x:c>
      <x:c r="S480" s="28" t="n">
        <x:f>IF(O480=0,0,R480/O480)</x:f>
        <x:v>0.3327712874864507</x:v>
      </x:c>
      <x:c r="T480" s="25" t="str">
        <x:v>Digital Wallet</x:v>
      </x:c>
      <x:c r="U480" s="25" t="str">
        <x:v>Completed</x:v>
      </x:c>
      <x:c r="V480" s="29" t="n">
        <x:v>4</x:v>
      </x:c>
    </x:row>
    <x:row r="481">
      <x:c r="A481" s="23" t="str">
        <x:v>MAN-2025-00480</x:v>
      </x:c>
      <x:c r="B481" s="24" t="n">
        <x:v>45953</x:v>
      </x:c>
      <x:c r="C481" s="25" t="str">
        <x:v>Mansoura</x:v>
      </x:c>
      <x:c r="D481" s="25" t="str">
        <x:v>Sherbin</x:v>
      </x:c>
      <x:c r="E481" s="25" t="str">
        <x:v>Aya Farouk</x:v>
      </x:c>
      <x:c r="F481" s="25" t="str">
        <x:v>Ali Mansour</x:v>
      </x:c>
      <x:c r="G481" s="25" t="str">
        <x:v>Consumer</x:v>
      </x:c>
      <x:c r="H481" s="25" t="str">
        <x:v>Retail Store</x:v>
      </x:c>
      <x:c r="I481" s="25" t="str">
        <x:v>Office Supplies</x:v>
      </x:c>
      <x:c r="J481" s="25" t="str">
        <x:v>Ink Cartridge</x:v>
      </x:c>
      <x:c r="K481" s="25" t="n">
        <x:v>4</x:v>
      </x:c>
      <x:c r="L481" s="26" t="n">
        <x:v>826</x:v>
      </x:c>
      <x:c r="M481" s="27" t="n">
        <x:v>0</x:v>
      </x:c>
      <x:c r="N481" s="26" t="n">
        <x:f>K481*L481</x:f>
        <x:v>3304</x:v>
      </x:c>
      <x:c r="O481" s="26" t="n">
        <x:f>N481*(1-M481)</x:f>
        <x:v>3304</x:v>
      </x:c>
      <x:c r="P481" s="26" t="n">
        <x:v>587</x:v>
      </x:c>
      <x:c r="Q481" s="26" t="n">
        <x:f>K481*P481</x:f>
        <x:v>2348</x:v>
      </x:c>
      <x:c r="R481" s="26" t="n">
        <x:f>O481-Q481</x:f>
        <x:v>956</x:v>
      </x:c>
      <x:c r="S481" s="28" t="n">
        <x:f>IF(O481=0,0,R481/O481)</x:f>
        <x:v>0.28934624697336564</x:v>
      </x:c>
      <x:c r="T481" s="25" t="str">
        <x:v>Debit Card</x:v>
      </x:c>
      <x:c r="U481" s="25" t="str">
        <x:v>Cancelled</x:v>
      </x:c>
      <x:c r="V481" s="29" t="n">
        <x:v>3</x:v>
      </x:c>
    </x:row>
    <x:row r="482">
      <x:c r="A482" s="23" t="str">
        <x:v>MAN-2025-00481</x:v>
      </x:c>
      <x:c r="B482" s="24" t="n">
        <x:v>45679</x:v>
      </x:c>
      <x:c r="C482" s="25" t="str">
        <x:v>Mansoura</x:v>
      </x:c>
      <x:c r="D482" s="25" t="str">
        <x:v>Sherbin</x:v>
      </x:c>
      <x:c r="E482" s="25" t="str">
        <x:v>Salma Mansour</x:v>
      </x:c>
      <x:c r="F482" s="25" t="str">
        <x:v>Omar Tarek</x:v>
      </x:c>
      <x:c r="G482" s="25" t="str">
        <x:v>Small Business</x:v>
      </x:c>
      <x:c r="H482" s="25" t="str">
        <x:v>Website</x:v>
      </x:c>
      <x:c r="I482" s="25" t="str">
        <x:v>Home Appliances</x:v>
      </x:c>
      <x:c r="J482" s="25" t="str">
        <x:v>Air Conditioner</x:v>
      </x:c>
      <x:c r="K482" s="25" t="n">
        <x:v>5</x:v>
      </x:c>
      <x:c r="L482" s="26" t="n">
        <x:v>19942</x:v>
      </x:c>
      <x:c r="M482" s="27" t="n">
        <x:v>0</x:v>
      </x:c>
      <x:c r="N482" s="26" t="n">
        <x:f>K482*L482</x:f>
        <x:v>99710</x:v>
      </x:c>
      <x:c r="O482" s="26" t="n">
        <x:f>N482*(1-M482)</x:f>
        <x:v>99710</x:v>
      </x:c>
      <x:c r="P482" s="26" t="n">
        <x:v>18288</x:v>
      </x:c>
      <x:c r="Q482" s="26" t="n">
        <x:f>K482*P482</x:f>
        <x:v>91440</x:v>
      </x:c>
      <x:c r="R482" s="26" t="n">
        <x:f>O482-Q482</x:f>
        <x:v>8270</x:v>
      </x:c>
      <x:c r="S482" s="28" t="n">
        <x:f>IF(O482=0,0,R482/O482)</x:f>
        <x:v>0.08294052752983652</x:v>
      </x:c>
      <x:c r="T482" s="25" t="str">
        <x:v>Debit Card</x:v>
      </x:c>
      <x:c r="U482" s="25" t="str">
        <x:v>Cancelled</x:v>
      </x:c>
      <x:c r="V482" s="29" t="n">
        <x:v>4</x:v>
      </x:c>
    </x:row>
    <x:row r="483">
      <x:c r="A483" s="23" t="str">
        <x:v>MAN-2025-00482</x:v>
      </x:c>
      <x:c r="B483" s="24" t="n">
        <x:v>45975</x:v>
      </x:c>
      <x:c r="C483" s="25" t="str">
        <x:v>Mansoura</x:v>
      </x:c>
      <x:c r="D483" s="25" t="str">
        <x:v>Mansoura City</x:v>
      </x:c>
      <x:c r="E483" s="25" t="str">
        <x:v>Salma Mansour</x:v>
      </x:c>
      <x:c r="F483" s="25" t="str">
        <x:v>Amr Gamal</x:v>
      </x:c>
      <x:c r="G483" s="25" t="str">
        <x:v>Consumer</x:v>
      </x:c>
      <x:c r="H483" s="25" t="str">
        <x:v>Retail Store</x:v>
      </x:c>
      <x:c r="I483" s="25" t="str">
        <x:v>Furniture</x:v>
      </x:c>
      <x:c r="J483" s="25" t="str">
        <x:v>Desk</x:v>
      </x:c>
      <x:c r="K483" s="25" t="n">
        <x:v>3</x:v>
      </x:c>
      <x:c r="L483" s="26" t="n">
        <x:v>5318</x:v>
      </x:c>
      <x:c r="M483" s="27" t="n">
        <x:v>0.1</x:v>
      </x:c>
      <x:c r="N483" s="26" t="n">
        <x:f>K483*L483</x:f>
        <x:v>15954</x:v>
      </x:c>
      <x:c r="O483" s="26" t="n">
        <x:f>N483*(1-M483)</x:f>
        <x:v>14358.6</x:v>
      </x:c>
      <x:c r="P483" s="26" t="n">
        <x:v>3851</x:v>
      </x:c>
      <x:c r="Q483" s="26" t="n">
        <x:f>K483*P483</x:f>
        <x:v>11553</x:v>
      </x:c>
      <x:c r="R483" s="26" t="n">
        <x:f>O483-Q483</x:f>
        <x:v>2805.6000000000004</x:v>
      </x:c>
      <x:c r="S483" s="28" t="n">
        <x:f>IF(O483=0,0,R483/O483)</x:f>
        <x:v>0.19539509422924242</x:v>
      </x:c>
      <x:c r="T483" s="25" t="str">
        <x:v>Debit Card</x:v>
      </x:c>
      <x:c r="U483" s="25" t="str">
        <x:v>Completed</x:v>
      </x:c>
      <x:c r="V483" s="29" t="n">
        <x:v>5</x:v>
      </x:c>
    </x:row>
    <x:row r="484">
      <x:c r="A484" s="23" t="str">
        <x:v>MAN-2025-00483</x:v>
      </x:c>
      <x:c r="B484" s="24" t="n">
        <x:v>45754</x:v>
      </x:c>
      <x:c r="C484" s="25" t="str">
        <x:v>Mansoura</x:v>
      </x:c>
      <x:c r="D484" s="25" t="str">
        <x:v>Mit Ghamr</x:v>
      </x:c>
      <x:c r="E484" s="25" t="str">
        <x:v>Salma Mansour</x:v>
      </x:c>
      <x:c r="F484" s="25" t="str">
        <x:v>Ali Mansour</x:v>
      </x:c>
      <x:c r="G484" s="25" t="str">
        <x:v>Small Business</x:v>
      </x:c>
      <x:c r="H484" s="25" t="str">
        <x:v>Retail Store</x:v>
      </x:c>
      <x:c r="I484" s="25" t="str">
        <x:v>Furniture</x:v>
      </x:c>
      <x:c r="J484" s="25" t="str">
        <x:v>Office Chair</x:v>
      </x:c>
      <x:c r="K484" s="25" t="n">
        <x:v>5</x:v>
      </x:c>
      <x:c r="L484" s="26" t="n">
        <x:v>4064</x:v>
      </x:c>
      <x:c r="M484" s="27" t="n">
        <x:v>0</x:v>
      </x:c>
      <x:c r="N484" s="26" t="n">
        <x:f>K484*L484</x:f>
        <x:v>20320</x:v>
      </x:c>
      <x:c r="O484" s="26" t="n">
        <x:f>N484*(1-M484)</x:f>
        <x:v>20320</x:v>
      </x:c>
      <x:c r="P484" s="26" t="n">
        <x:v>2871</x:v>
      </x:c>
      <x:c r="Q484" s="26" t="n">
        <x:f>K484*P484</x:f>
        <x:v>14355</x:v>
      </x:c>
      <x:c r="R484" s="26" t="n">
        <x:f>O484-Q484</x:f>
        <x:v>5965</x:v>
      </x:c>
      <x:c r="S484" s="28" t="n">
        <x:f>IF(O484=0,0,R484/O484)</x:f>
        <x:v>0.2935531496062992</x:v>
      </x:c>
      <x:c r="T484" s="25" t="str">
        <x:v>Credit Card</x:v>
      </x:c>
      <x:c r="U484" s="25" t="str">
        <x:v>Completed</x:v>
      </x:c>
      <x:c r="V484" s="29" t="n">
        <x:v>4</x:v>
      </x:c>
    </x:row>
    <x:row r="485">
      <x:c r="A485" s="23" t="str">
        <x:v>MAN-2025-00484</x:v>
      </x:c>
      <x:c r="B485" s="24" t="n">
        <x:v>45749</x:v>
      </x:c>
      <x:c r="C485" s="25" t="str">
        <x:v>Mansoura</x:v>
      </x:c>
      <x:c r="D485" s="25" t="str">
        <x:v>Aga</x:v>
      </x:c>
      <x:c r="E485" s="25" t="str">
        <x:v>Aya Farouk</x:v>
      </x:c>
      <x:c r="F485" s="25" t="str">
        <x:v>Omar Mansour</x:v>
      </x:c>
      <x:c r="G485" s="25" t="str">
        <x:v>Small Business</x:v>
      </x:c>
      <x:c r="H485" s="25" t="str">
        <x:v>Retail Store</x:v>
      </x:c>
      <x:c r="I485" s="25" t="str">
        <x:v>Home Appliances</x:v>
      </x:c>
      <x:c r="J485" s="25" t="str">
        <x:v>Air Conditioner</x:v>
      </x:c>
      <x:c r="K485" s="25" t="n">
        <x:v>2</x:v>
      </x:c>
      <x:c r="L485" s="26" t="n">
        <x:v>19464</x:v>
      </x:c>
      <x:c r="M485" s="27" t="n">
        <x:v>0</x:v>
      </x:c>
      <x:c r="N485" s="26" t="n">
        <x:f>K485*L485</x:f>
        <x:v>38928</x:v>
      </x:c>
      <x:c r="O485" s="26" t="n">
        <x:f>N485*(1-M485)</x:f>
        <x:v>38928</x:v>
      </x:c>
      <x:c r="P485" s="26" t="n">
        <x:v>17953</x:v>
      </x:c>
      <x:c r="Q485" s="26" t="n">
        <x:f>K485*P485</x:f>
        <x:v>35906</x:v>
      </x:c>
      <x:c r="R485" s="26" t="n">
        <x:f>O485-Q485</x:f>
        <x:v>3022</x:v>
      </x:c>
      <x:c r="S485" s="28" t="n">
        <x:f>IF(O485=0,0,R485/O485)</x:f>
        <x:v>0.07763049732840115</x:v>
      </x:c>
      <x:c r="T485" s="25" t="str">
        <x:v>Digital Wallet</x:v>
      </x:c>
      <x:c r="U485" s="25" t="str">
        <x:v>Completed</x:v>
      </x:c>
      <x:c r="V485" s="29" t="n">
        <x:v>4</x:v>
      </x:c>
    </x:row>
    <x:row r="486">
      <x:c r="A486" s="23" t="str">
        <x:v>MAN-2025-00485</x:v>
      </x:c>
      <x:c r="B486" s="24" t="n">
        <x:v>46015</x:v>
      </x:c>
      <x:c r="C486" s="25" t="str">
        <x:v>Mansoura</x:v>
      </x:c>
      <x:c r="D486" s="25" t="str">
        <x:v>Mit Ghamr</x:v>
      </x:c>
      <x:c r="E486" s="25" t="str">
        <x:v>Aya Farouk</x:v>
      </x:c>
      <x:c r="F486" s="25" t="str">
        <x:v>Sara Adel</x:v>
      </x:c>
      <x:c r="G486" s="25" t="str">
        <x:v>Consumer</x:v>
      </x:c>
      <x:c r="H486" s="25" t="str">
        <x:v>Retail Store</x:v>
      </x:c>
      <x:c r="I486" s="25" t="str">
        <x:v>Office Supplies</x:v>
      </x:c>
      <x:c r="J486" s="25" t="str">
        <x:v>Printer</x:v>
      </x:c>
      <x:c r="K486" s="25" t="n">
        <x:v>1</x:v>
      </x:c>
      <x:c r="L486" s="26" t="n">
        <x:v>6338</x:v>
      </x:c>
      <x:c r="M486" s="27" t="n">
        <x:v>0</x:v>
      </x:c>
      <x:c r="N486" s="26" t="n">
        <x:f>K486*L486</x:f>
        <x:v>6338</x:v>
      </x:c>
      <x:c r="O486" s="26" t="n">
        <x:f>N486*(1-M486)</x:f>
        <x:v>6338</x:v>
      </x:c>
      <x:c r="P486" s="26" t="n">
        <x:v>5528</x:v>
      </x:c>
      <x:c r="Q486" s="26" t="n">
        <x:f>K486*P486</x:f>
        <x:v>5528</x:v>
      </x:c>
      <x:c r="R486" s="26" t="n">
        <x:f>O486-Q486</x:f>
        <x:v>810</x:v>
      </x:c>
      <x:c r="S486" s="28" t="n">
        <x:f>IF(O486=0,0,R486/O486)</x:f>
        <x:v>0.12780056800252446</x:v>
      </x:c>
      <x:c r="T486" s="25" t="str">
        <x:v>Debit Card</x:v>
      </x:c>
      <x:c r="U486" s="25" t="str">
        <x:v>Completed</x:v>
      </x:c>
      <x:c r="V486" s="29" t="n">
        <x:v>5</x:v>
      </x:c>
    </x:row>
    <x:row r="487">
      <x:c r="A487" s="23" t="str">
        <x:v>MAN-2025-00486</x:v>
      </x:c>
      <x:c r="B487" s="24" t="n">
        <x:v>45707</x:v>
      </x:c>
      <x:c r="C487" s="25" t="str">
        <x:v>Mansoura</x:v>
      </x:c>
      <x:c r="D487" s="25" t="str">
        <x:v>Sherbin</x:v>
      </x:c>
      <x:c r="E487" s="25" t="str">
        <x:v>Ali Sayed</x:v>
      </x:c>
      <x:c r="F487" s="25" t="str">
        <x:v>Mariam Fathy</x:v>
      </x:c>
      <x:c r="G487" s="25" t="str">
        <x:v>Consumer</x:v>
      </x:c>
      <x:c r="H487" s="25" t="str">
        <x:v>Retail Store</x:v>
      </x:c>
      <x:c r="I487" s="25" t="str">
        <x:v>Home Appliances</x:v>
      </x:c>
      <x:c r="J487" s="25" t="str">
        <x:v>Air Conditioner</x:v>
      </x:c>
      <x:c r="K487" s="25" t="n">
        <x:v>3</x:v>
      </x:c>
      <x:c r="L487" s="26" t="n">
        <x:v>20292</x:v>
      </x:c>
      <x:c r="M487" s="27" t="n">
        <x:v>0.1</x:v>
      </x:c>
      <x:c r="N487" s="26" t="n">
        <x:f>K487*L487</x:f>
        <x:v>60876</x:v>
      </x:c>
      <x:c r="O487" s="26" t="n">
        <x:f>N487*(1-M487)</x:f>
        <x:v>54788.4</x:v>
      </x:c>
      <x:c r="P487" s="26" t="n">
        <x:v>18351</x:v>
      </x:c>
      <x:c r="Q487" s="26" t="n">
        <x:f>K487*P487</x:f>
        <x:v>55053</x:v>
      </x:c>
      <x:c r="R487" s="26" t="n">
        <x:f>O487-Q487</x:f>
        <x:v>-264.59999999999854</x:v>
      </x:c>
      <x:c r="S487" s="28" t="n">
        <x:f>IF(O487=0,0,R487/O487)</x:f>
        <x:v>-0.004829489453971982</x:v>
      </x:c>
      <x:c r="T487" s="25" t="str">
        <x:v>Bank Transfer</x:v>
      </x:c>
      <x:c r="U487" s="25" t="str">
        <x:v>Completed</x:v>
      </x:c>
      <x:c r="V487" s="29" t="n">
        <x:v>4</x:v>
      </x:c>
    </x:row>
    <x:row r="488">
      <x:c r="A488" s="23" t="str">
        <x:v>MAN-2025-00487</x:v>
      </x:c>
      <x:c r="B488" s="24" t="n">
        <x:v>45892</x:v>
      </x:c>
      <x:c r="C488" s="25" t="str">
        <x:v>Mansoura</x:v>
      </x:c>
      <x:c r="D488" s="25" t="str">
        <x:v>Mansoura City</x:v>
      </x:c>
      <x:c r="E488" s="25" t="str">
        <x:v>Ali Sayed</x:v>
      </x:c>
      <x:c r="F488" s="25" t="str">
        <x:v>Youssef Khalil</x:v>
      </x:c>
      <x:c r="G488" s="25" t="str">
        <x:v>Small Business</x:v>
      </x:c>
      <x:c r="H488" s="25" t="str">
        <x:v>Website</x:v>
      </x:c>
      <x:c r="I488" s="25" t="str">
        <x:v>Electronics</x:v>
      </x:c>
      <x:c r="J488" s="25" t="str">
        <x:v>Tablet</x:v>
      </x:c>
      <x:c r="K488" s="25" t="n">
        <x:v>3</x:v>
      </x:c>
      <x:c r="L488" s="26" t="n">
        <x:v>9359</x:v>
      </x:c>
      <x:c r="M488" s="27" t="n">
        <x:v>0.05</x:v>
      </x:c>
      <x:c r="N488" s="26" t="n">
        <x:f>K488*L488</x:f>
        <x:v>28077</x:v>
      </x:c>
      <x:c r="O488" s="26" t="n">
        <x:f>N488*(1-M488)</x:f>
        <x:v>26673.149999999998</x:v>
      </x:c>
      <x:c r="P488" s="26" t="n">
        <x:v>7571</x:v>
      </x:c>
      <x:c r="Q488" s="26" t="n">
        <x:f>K488*P488</x:f>
        <x:v>22713</x:v>
      </x:c>
      <x:c r="R488" s="26" t="n">
        <x:f>O488-Q488</x:f>
        <x:v>3960.149999999998</x:v>
      </x:c>
      <x:c r="S488" s="28" t="n">
        <x:f>IF(O488=0,0,R488/O488)</x:f>
        <x:v>0.14846952834592084</x:v>
      </x:c>
      <x:c r="T488" s="25" t="str">
        <x:v>Credit Card</x:v>
      </x:c>
      <x:c r="U488" s="25" t="str">
        <x:v>Completed</x:v>
      </x:c>
      <x:c r="V488" s="29" t="n">
        <x:v>4</x:v>
      </x:c>
    </x:row>
    <x:row r="489">
      <x:c r="A489" s="23" t="str">
        <x:v>MAN-2025-00488</x:v>
      </x:c>
      <x:c r="B489" s="24" t="n">
        <x:v>45919</x:v>
      </x:c>
      <x:c r="C489" s="25" t="str">
        <x:v>Mansoura</x:v>
      </x:c>
      <x:c r="D489" s="25" t="str">
        <x:v>Mit Ghamr</x:v>
      </x:c>
      <x:c r="E489" s="25" t="str">
        <x:v>Salma Mansour</x:v>
      </x:c>
      <x:c r="F489" s="25" t="str">
        <x:v>Mostafa Gamal</x:v>
      </x:c>
      <x:c r="G489" s="25" t="str">
        <x:v>Consumer</x:v>
      </x:c>
      <x:c r="H489" s="25" t="str">
        <x:v>Retail Store</x:v>
      </x:c>
      <x:c r="I489" s="25" t="str">
        <x:v>Home Appliances</x:v>
      </x:c>
      <x:c r="J489" s="25" t="str">
        <x:v>Air Conditioner</x:v>
      </x:c>
      <x:c r="K489" s="25" t="n">
        <x:v>5</x:v>
      </x:c>
      <x:c r="L489" s="26" t="n">
        <x:v>20892</x:v>
      </x:c>
      <x:c r="M489" s="27" t="n">
        <x:v>0</x:v>
      </x:c>
      <x:c r="N489" s="26" t="n">
        <x:f>K489*L489</x:f>
        <x:v>104460</x:v>
      </x:c>
      <x:c r="O489" s="26" t="n">
        <x:f>N489*(1-M489)</x:f>
        <x:v>104460</x:v>
      </x:c>
      <x:c r="P489" s="26" t="n">
        <x:v>18110</x:v>
      </x:c>
      <x:c r="Q489" s="26" t="n">
        <x:f>K489*P489</x:f>
        <x:v>90550</x:v>
      </x:c>
      <x:c r="R489" s="26" t="n">
        <x:f>O489-Q489</x:f>
        <x:v>13910</x:v>
      </x:c>
      <x:c r="S489" s="28" t="n">
        <x:f>IF(O489=0,0,R489/O489)</x:f>
        <x:v>0.1331610185717021</x:v>
      </x:c>
      <x:c r="T489" s="25" t="str">
        <x:v>Digital Wallet</x:v>
      </x:c>
      <x:c r="U489" s="25" t="str">
        <x:v>Completed</x:v>
      </x:c>
      <x:c r="V489" s="29" t="n">
        <x:v>4</x:v>
      </x:c>
    </x:row>
    <x:row r="490">
      <x:c r="A490" s="23" t="str">
        <x:v>MAN-2025-00489</x:v>
      </x:c>
      <x:c r="B490" s="24" t="n">
        <x:v>45988</x:v>
      </x:c>
      <x:c r="C490" s="25" t="str">
        <x:v>Mansoura</x:v>
      </x:c>
      <x:c r="D490" s="25" t="str">
        <x:v>Talkha</x:v>
      </x:c>
      <x:c r="E490" s="25" t="str">
        <x:v>Youssef Fathy</x:v>
      </x:c>
      <x:c r="F490" s="25" t="str">
        <x:v>Salma Fathy</x:v>
      </x:c>
      <x:c r="G490" s="25" t="str">
        <x:v>Consumer</x:v>
      </x:c>
      <x:c r="H490" s="25" t="str">
        <x:v>Retail Store</x:v>
      </x:c>
      <x:c r="I490" s="25" t="str">
        <x:v>Furniture</x:v>
      </x:c>
      <x:c r="J490" s="25" t="str">
        <x:v>Desk</x:v>
      </x:c>
      <x:c r="K490" s="25" t="n">
        <x:v>4</x:v>
      </x:c>
      <x:c r="L490" s="26" t="n">
        <x:v>5007</x:v>
      </x:c>
      <x:c r="M490" s="27" t="n">
        <x:v>0.15</x:v>
      </x:c>
      <x:c r="N490" s="26" t="n">
        <x:f>K490*L490</x:f>
        <x:v>20028</x:v>
      </x:c>
      <x:c r="O490" s="26" t="n">
        <x:f>N490*(1-M490)</x:f>
        <x:v>17023.8</x:v>
      </x:c>
      <x:c r="P490" s="26" t="n">
        <x:v>3890</x:v>
      </x:c>
      <x:c r="Q490" s="26" t="n">
        <x:f>K490*P490</x:f>
        <x:v>15560</x:v>
      </x:c>
      <x:c r="R490" s="26" t="n">
        <x:f>O490-Q490</x:f>
        <x:v>1463.7999999999993</x:v>
      </x:c>
      <x:c r="S490" s="28" t="n">
        <x:f>IF(O490=0,0,R490/O490)</x:f>
        <x:v>0.08598550264923221</x:v>
      </x:c>
      <x:c r="T490" s="25" t="str">
        <x:v>Bank Transfer</x:v>
      </x:c>
      <x:c r="U490" s="25" t="str">
        <x:v>Returned</x:v>
      </x:c>
      <x:c r="V490" s="29" t="n">
        <x:v>5</x:v>
      </x:c>
    </x:row>
    <x:row r="491">
      <x:c r="A491" s="23" t="str">
        <x:v>MAN-2025-00490</x:v>
      </x:c>
      <x:c r="B491" s="24" t="n">
        <x:v>45678</x:v>
      </x:c>
      <x:c r="C491" s="25" t="str">
        <x:v>Mansoura</x:v>
      </x:c>
      <x:c r="D491" s="25" t="str">
        <x:v>Talkha</x:v>
      </x:c>
      <x:c r="E491" s="25" t="str">
        <x:v>Aya Farouk</x:v>
      </x:c>
      <x:c r="F491" s="25" t="str">
        <x:v>Mahmoud Mansour</x:v>
      </x:c>
      <x:c r="G491" s="25" t="str">
        <x:v>Small Business</x:v>
      </x:c>
      <x:c r="H491" s="25" t="str">
        <x:v>Retail Store</x:v>
      </x:c>
      <x:c r="I491" s="25" t="str">
        <x:v>Electronics</x:v>
      </x:c>
      <x:c r="J491" s="25" t="str">
        <x:v>Headphones</x:v>
      </x:c>
      <x:c r="K491" s="25" t="n">
        <x:v>4</x:v>
      </x:c>
      <x:c r="L491" s="26" t="n">
        <x:v>1742</x:v>
      </x:c>
      <x:c r="M491" s="27" t="n">
        <x:v>0.05</x:v>
      </x:c>
      <x:c r="N491" s="26" t="n">
        <x:f>K491*L491</x:f>
        <x:v>6968</x:v>
      </x:c>
      <x:c r="O491" s="26" t="n">
        <x:f>N491*(1-M491)</x:f>
        <x:v>6619.599999999999</x:v>
      </x:c>
      <x:c r="P491" s="26" t="n">
        <x:v>1086</x:v>
      </x:c>
      <x:c r="Q491" s="26" t="n">
        <x:f>K491*P491</x:f>
        <x:v>4344</x:v>
      </x:c>
      <x:c r="R491" s="26" t="n">
        <x:f>O491-Q491</x:f>
        <x:v>2275.5999999999995</x:v>
      </x:c>
      <x:c r="S491" s="28" t="n">
        <x:f>IF(O491=0,0,R491/O491)</x:f>
        <x:v>0.3437669949845912</x:v>
      </x:c>
      <x:c r="T491" s="25" t="str">
        <x:v>Bank Transfer</x:v>
      </x:c>
      <x:c r="U491" s="25" t="str">
        <x:v>Completed</x:v>
      </x:c>
      <x:c r="V491" s="29" t="n">
        <x:v>5</x:v>
      </x:c>
    </x:row>
    <x:row r="492">
      <x:c r="A492" s="23" t="str">
        <x:v>MAN-2025-00491</x:v>
      </x:c>
      <x:c r="B492" s="24" t="n">
        <x:v>45673</x:v>
      </x:c>
      <x:c r="C492" s="25" t="str">
        <x:v>Mansoura</x:v>
      </x:c>
      <x:c r="D492" s="25" t="str">
        <x:v>Talkha</x:v>
      </x:c>
      <x:c r="E492" s="25" t="str">
        <x:v>Salma Mansour</x:v>
      </x:c>
      <x:c r="F492" s="25" t="str">
        <x:v>Mostafa Farouk</x:v>
      </x:c>
      <x:c r="G492" s="25" t="str">
        <x:v>Small Business</x:v>
      </x:c>
      <x:c r="H492" s="25" t="str">
        <x:v>Website</x:v>
      </x:c>
      <x:c r="I492" s="25" t="str">
        <x:v>Furniture</x:v>
      </x:c>
      <x:c r="J492" s="25" t="str">
        <x:v>Office Chair</x:v>
      </x:c>
      <x:c r="K492" s="25" t="n">
        <x:v>4</x:v>
      </x:c>
      <x:c r="L492" s="26" t="n">
        <x:v>3964</x:v>
      </x:c>
      <x:c r="M492" s="27" t="n">
        <x:v>0</x:v>
      </x:c>
      <x:c r="N492" s="26" t="n">
        <x:f>K492*L492</x:f>
        <x:v>15856</x:v>
      </x:c>
      <x:c r="O492" s="26" t="n">
        <x:f>N492*(1-M492)</x:f>
        <x:v>15856</x:v>
      </x:c>
      <x:c r="P492" s="26" t="n">
        <x:v>2886</x:v>
      </x:c>
      <x:c r="Q492" s="26" t="n">
        <x:f>K492*P492</x:f>
        <x:v>11544</x:v>
      </x:c>
      <x:c r="R492" s="26" t="n">
        <x:f>O492-Q492</x:f>
        <x:v>4312</x:v>
      </x:c>
      <x:c r="S492" s="28" t="n">
        <x:f>IF(O492=0,0,R492/O492)</x:f>
        <x:v>0.27194752774974773</x:v>
      </x:c>
      <x:c r="T492" s="25" t="str">
        <x:v>Credit Card</x:v>
      </x:c>
      <x:c r="U492" s="25" t="str">
        <x:v>Completed</x:v>
      </x:c>
      <x:c r="V492" s="29" t="n">
        <x:v>3</x:v>
      </x:c>
    </x:row>
    <x:row r="493">
      <x:c r="A493" s="23" t="str">
        <x:v>MAN-2025-00492</x:v>
      </x:c>
      <x:c r="B493" s="24" t="n">
        <x:v>45760</x:v>
      </x:c>
      <x:c r="C493" s="25" t="str">
        <x:v>Mansoura</x:v>
      </x:c>
      <x:c r="D493" s="25" t="str">
        <x:v>Mansoura City</x:v>
      </x:c>
      <x:c r="E493" s="25" t="str">
        <x:v>Aya Farouk</x:v>
      </x:c>
      <x:c r="F493" s="25" t="str">
        <x:v>Youssef Adel</x:v>
      </x:c>
      <x:c r="G493" s="25" t="str">
        <x:v>Consumer</x:v>
      </x:c>
      <x:c r="H493" s="25" t="str">
        <x:v>Mobile App</x:v>
      </x:c>
      <x:c r="I493" s="25" t="str">
        <x:v>Furniture</x:v>
      </x:c>
      <x:c r="J493" s="25" t="str">
        <x:v>Sofa</x:v>
      </x:c>
      <x:c r="K493" s="25" t="n">
        <x:v>5</x:v>
      </x:c>
      <x:c r="L493" s="26" t="n">
        <x:v>13960</x:v>
      </x:c>
      <x:c r="M493" s="27" t="n">
        <x:v>0.1</x:v>
      </x:c>
      <x:c r="N493" s="26" t="n">
        <x:f>K493*L493</x:f>
        <x:v>69800</x:v>
      </x:c>
      <x:c r="O493" s="26" t="n">
        <x:f>N493*(1-M493)</x:f>
        <x:v>62820</x:v>
      </x:c>
      <x:c r="P493" s="26" t="n">
        <x:v>10987</x:v>
      </x:c>
      <x:c r="Q493" s="26" t="n">
        <x:f>K493*P493</x:f>
        <x:v>54935</x:v>
      </x:c>
      <x:c r="R493" s="26" t="n">
        <x:f>O493-Q493</x:f>
        <x:v>7885</x:v>
      </x:c>
      <x:c r="S493" s="28" t="n">
        <x:f>IF(O493=0,0,R493/O493)</x:f>
        <x:v>0.1255173511620503</x:v>
      </x:c>
      <x:c r="T493" s="25" t="str">
        <x:v>Bank Transfer</x:v>
      </x:c>
      <x:c r="U493" s="25" t="str">
        <x:v>Returned</x:v>
      </x:c>
      <x:c r="V493" s="29" t="n">
        <x:v>4</x:v>
      </x:c>
    </x:row>
    <x:row r="494">
      <x:c r="A494" s="23" t="str">
        <x:v>MAN-2025-00493</x:v>
      </x:c>
      <x:c r="B494" s="24" t="n">
        <x:v>45798</x:v>
      </x:c>
      <x:c r="C494" s="25" t="str">
        <x:v>Mansoura</x:v>
      </x:c>
      <x:c r="D494" s="25" t="str">
        <x:v>Aga</x:v>
      </x:c>
      <x:c r="E494" s="25" t="str">
        <x:v>Aya Farouk</x:v>
      </x:c>
      <x:c r="F494" s="25" t="str">
        <x:v>Nour Nasser</x:v>
      </x:c>
      <x:c r="G494" s="25" t="str">
        <x:v>Consumer</x:v>
      </x:c>
      <x:c r="H494" s="25" t="str">
        <x:v>Mobile App</x:v>
      </x:c>
      <x:c r="I494" s="25" t="str">
        <x:v>Office Supplies</x:v>
      </x:c>
      <x:c r="J494" s="25" t="str">
        <x:v>Paper Box</x:v>
      </x:c>
      <x:c r="K494" s="25" t="n">
        <x:v>6</x:v>
      </x:c>
      <x:c r="L494" s="26" t="n">
        <x:v>355</x:v>
      </x:c>
      <x:c r="M494" s="27" t="n">
        <x:v>0.1</x:v>
      </x:c>
      <x:c r="N494" s="26" t="n">
        <x:f>K494*L494</x:f>
        <x:v>2130</x:v>
      </x:c>
      <x:c r="O494" s="26" t="n">
        <x:f>N494*(1-M494)</x:f>
        <x:v>1917</x:v>
      </x:c>
      <x:c r="P494" s="26" t="n">
        <x:v>259</x:v>
      </x:c>
      <x:c r="Q494" s="26" t="n">
        <x:f>K494*P494</x:f>
        <x:v>1554</x:v>
      </x:c>
      <x:c r="R494" s="26" t="n">
        <x:f>O494-Q494</x:f>
        <x:v>363</x:v>
      </x:c>
      <x:c r="S494" s="28" t="n">
        <x:f>IF(O494=0,0,R494/O494)</x:f>
        <x:v>0.18935837245696402</x:v>
      </x:c>
      <x:c r="T494" s="25" t="str">
        <x:v>Debit Card</x:v>
      </x:c>
      <x:c r="U494" s="25" t="str">
        <x:v>Cancelled</x:v>
      </x:c>
      <x:c r="V494" s="29" t="n">
        <x:v>4</x:v>
      </x:c>
    </x:row>
    <x:row r="495">
      <x:c r="A495" s="23" t="str">
        <x:v>MAN-2025-00494</x:v>
      </x:c>
      <x:c r="B495" s="24" t="n">
        <x:v>45857</x:v>
      </x:c>
      <x:c r="C495" s="25" t="str">
        <x:v>Mansoura</x:v>
      </x:c>
      <x:c r="D495" s="25" t="str">
        <x:v>Mit Ghamr</x:v>
      </x:c>
      <x:c r="E495" s="25" t="str">
        <x:v>Salma Mansour</x:v>
      </x:c>
      <x:c r="F495" s="25" t="str">
        <x:v>Mostafa Farouk</x:v>
      </x:c>
      <x:c r="G495" s="25" t="str">
        <x:v>Consumer</x:v>
      </x:c>
      <x:c r="H495" s="25" t="str">
        <x:v>Retail Store</x:v>
      </x:c>
      <x:c r="I495" s="25" t="str">
        <x:v>Office Supplies</x:v>
      </x:c>
      <x:c r="J495" s="25" t="str">
        <x:v>Calculator</x:v>
      </x:c>
      <x:c r="K495" s="25" t="n">
        <x:v>1</x:v>
      </x:c>
      <x:c r="L495" s="26" t="n">
        <x:v>447</x:v>
      </x:c>
      <x:c r="M495" s="27" t="n">
        <x:v>0.05</x:v>
      </x:c>
      <x:c r="N495" s="26" t="n">
        <x:f>K495*L495</x:f>
        <x:v>447</x:v>
      </x:c>
      <x:c r="O495" s="26" t="n">
        <x:f>N495*(1-M495)</x:f>
        <x:v>424.65</x:v>
      </x:c>
      <x:c r="P495" s="26" t="n">
        <x:v>281</x:v>
      </x:c>
      <x:c r="Q495" s="26" t="n">
        <x:f>K495*P495</x:f>
        <x:v>281</x:v>
      </x:c>
      <x:c r="R495" s="26" t="n">
        <x:f>O495-Q495</x:f>
        <x:v>143.64999999999998</x:v>
      </x:c>
      <x:c r="S495" s="28" t="n">
        <x:f>IF(O495=0,0,R495/O495)</x:f>
        <x:v>0.3382785823619451</x:v>
      </x:c>
      <x:c r="T495" s="25" t="str">
        <x:v>Bank Transfer</x:v>
      </x:c>
      <x:c r="U495" s="25" t="str">
        <x:v>Returned</x:v>
      </x:c>
      <x:c r="V495" s="29" t="n">
        <x:v>3</x:v>
      </x:c>
    </x:row>
    <x:row r="496">
      <x:c r="A496" s="23" t="str">
        <x:v>MAN-2025-00495</x:v>
      </x:c>
      <x:c r="B496" s="24" t="n">
        <x:v>45721</x:v>
      </x:c>
      <x:c r="C496" s="25" t="str">
        <x:v>Mansoura</x:v>
      </x:c>
      <x:c r="D496" s="25" t="str">
        <x:v>Sherbin</x:v>
      </x:c>
      <x:c r="E496" s="25" t="str">
        <x:v>Salma Mansour</x:v>
      </x:c>
      <x:c r="F496" s="25" t="str">
        <x:v>Sara Ibrahim</x:v>
      </x:c>
      <x:c r="G496" s="25" t="str">
        <x:v>Small Business</x:v>
      </x:c>
      <x:c r="H496" s="25" t="str">
        <x:v>Website</x:v>
      </x:c>
      <x:c r="I496" s="25" t="str">
        <x:v>Home Appliances</x:v>
      </x:c>
      <x:c r="J496" s="25" t="str">
        <x:v>Microwave</x:v>
      </x:c>
      <x:c r="K496" s="25" t="n">
        <x:v>1</x:v>
      </x:c>
      <x:c r="L496" s="26" t="n">
        <x:v>5791</x:v>
      </x:c>
      <x:c r="M496" s="27" t="n">
        <x:v>0</x:v>
      </x:c>
      <x:c r="N496" s="26" t="n">
        <x:f>K496*L496</x:f>
        <x:v>5791</x:v>
      </x:c>
      <x:c r="O496" s="26" t="n">
        <x:f>N496*(1-M496)</x:f>
        <x:v>5791</x:v>
      </x:c>
      <x:c r="P496" s="26" t="n">
        <x:v>4474</x:v>
      </x:c>
      <x:c r="Q496" s="26" t="n">
        <x:f>K496*P496</x:f>
        <x:v>4474</x:v>
      </x:c>
      <x:c r="R496" s="26" t="n">
        <x:f>O496-Q496</x:f>
        <x:v>1317</x:v>
      </x:c>
      <x:c r="S496" s="28" t="n">
        <x:f>IF(O496=0,0,R496/O496)</x:f>
        <x:v>0.22742186150923846</x:v>
      </x:c>
      <x:c r="T496" s="25" t="str">
        <x:v>Digital Wallet</x:v>
      </x:c>
      <x:c r="U496" s="25" t="str">
        <x:v>Returned</x:v>
      </x:c>
      <x:c r="V496" s="29" t="n">
        <x:v>4</x:v>
      </x:c>
    </x:row>
    <x:row r="497">
      <x:c r="A497" s="23" t="str">
        <x:v>MAN-2025-00496</x:v>
      </x:c>
      <x:c r="B497" s="24" t="n">
        <x:v>45659</x:v>
      </x:c>
      <x:c r="C497" s="25" t="str">
        <x:v>Mansoura</x:v>
      </x:c>
      <x:c r="D497" s="25" t="str">
        <x:v>Mit Ghamr</x:v>
      </x:c>
      <x:c r="E497" s="25" t="str">
        <x:v>Aya Farouk</x:v>
      </x:c>
      <x:c r="F497" s="25" t="str">
        <x:v>Ahmed Gamal</x:v>
      </x:c>
      <x:c r="G497" s="25" t="str">
        <x:v>Corporate</x:v>
      </x:c>
      <x:c r="H497" s="25" t="str">
        <x:v>Phone Order</x:v>
      </x:c>
      <x:c r="I497" s="25" t="str">
        <x:v>Furniture</x:v>
      </x:c>
      <x:c r="J497" s="25" t="str">
        <x:v>Desk</x:v>
      </x:c>
      <x:c r="K497" s="25" t="n">
        <x:v>5</x:v>
      </x:c>
      <x:c r="L497" s="26" t="n">
        <x:v>5087</x:v>
      </x:c>
      <x:c r="M497" s="27" t="n">
        <x:v>0.1</x:v>
      </x:c>
      <x:c r="N497" s="26" t="n">
        <x:f>K497*L497</x:f>
        <x:v>25435</x:v>
      </x:c>
      <x:c r="O497" s="26" t="n">
        <x:f>N497*(1-M497)</x:f>
        <x:v>22891.5</x:v>
      </x:c>
      <x:c r="P497" s="26" t="n">
        <x:v>3930</x:v>
      </x:c>
      <x:c r="Q497" s="26" t="n">
        <x:f>K497*P497</x:f>
        <x:v>19650</x:v>
      </x:c>
      <x:c r="R497" s="26" t="n">
        <x:f>O497-Q497</x:f>
        <x:v>3241.5</x:v>
      </x:c>
      <x:c r="S497" s="28" t="n">
        <x:f>IF(O497=0,0,R497/O497)</x:f>
        <x:v>0.141602778323832</x:v>
      </x:c>
      <x:c r="T497" s="25" t="str">
        <x:v>Cash</x:v>
      </x:c>
      <x:c r="U497" s="25" t="str">
        <x:v>Completed</x:v>
      </x:c>
      <x:c r="V497" s="29" t="n">
        <x:v>3</x:v>
      </x:c>
    </x:row>
    <x:row r="498">
      <x:c r="A498" s="23" t="str">
        <x:v>MAN-2025-00497</x:v>
      </x:c>
      <x:c r="B498" s="24" t="n">
        <x:v>45991</x:v>
      </x:c>
      <x:c r="C498" s="25" t="str">
        <x:v>Mansoura</x:v>
      </x:c>
      <x:c r="D498" s="25" t="str">
        <x:v>Mansoura City</x:v>
      </x:c>
      <x:c r="E498" s="25" t="str">
        <x:v>Ali Sayed</x:v>
      </x:c>
      <x:c r="F498" s="25" t="str">
        <x:v>Salma Khalil</x:v>
      </x:c>
      <x:c r="G498" s="25" t="str">
        <x:v>Corporate</x:v>
      </x:c>
      <x:c r="H498" s="25" t="str">
        <x:v>Website</x:v>
      </x:c>
      <x:c r="I498" s="25" t="str">
        <x:v>Office Supplies</x:v>
      </x:c>
      <x:c r="J498" s="25" t="str">
        <x:v>Printer</x:v>
      </x:c>
      <x:c r="K498" s="25" t="n">
        <x:v>3</x:v>
      </x:c>
      <x:c r="L498" s="26" t="n">
        <x:v>6300</x:v>
      </x:c>
      <x:c r="M498" s="27" t="n">
        <x:v>0.1</x:v>
      </x:c>
      <x:c r="N498" s="26" t="n">
        <x:f>K498*L498</x:f>
        <x:v>18900</x:v>
      </x:c>
      <x:c r="O498" s="26" t="n">
        <x:f>N498*(1-M498)</x:f>
        <x:v>17010</x:v>
      </x:c>
      <x:c r="P498" s="26" t="n">
        <x:v>5261</x:v>
      </x:c>
      <x:c r="Q498" s="26" t="n">
        <x:f>K498*P498</x:f>
        <x:v>15783</x:v>
      </x:c>
      <x:c r="R498" s="26" t="n">
        <x:f>O498-Q498</x:f>
        <x:v>1227</x:v>
      </x:c>
      <x:c r="S498" s="28" t="n">
        <x:f>IF(O498=0,0,R498/O498)</x:f>
        <x:v>0.07213403880070547</x:v>
      </x:c>
      <x:c r="T498" s="25" t="str">
        <x:v>Cash</x:v>
      </x:c>
      <x:c r="U498" s="25" t="str">
        <x:v>Completed</x:v>
      </x:c>
      <x:c r="V498" s="29" t="n">
        <x:v>4</x:v>
      </x:c>
    </x:row>
    <x:row r="499">
      <x:c r="A499" s="23" t="str">
        <x:v>MAN-2025-00498</x:v>
      </x:c>
      <x:c r="B499" s="24" t="n">
        <x:v>45865</x:v>
      </x:c>
      <x:c r="C499" s="25" t="str">
        <x:v>Mansoura</x:v>
      </x:c>
      <x:c r="D499" s="25" t="str">
        <x:v>Mit Ghamr</x:v>
      </x:c>
      <x:c r="E499" s="25" t="str">
        <x:v>Salma Mansour</x:v>
      </x:c>
      <x:c r="F499" s="25" t="str">
        <x:v>Omar Tarek</x:v>
      </x:c>
      <x:c r="G499" s="25" t="str">
        <x:v>Small Business</x:v>
      </x:c>
      <x:c r="H499" s="25" t="str">
        <x:v>Retail Store</x:v>
      </x:c>
      <x:c r="I499" s="25" t="str">
        <x:v>Electronics</x:v>
      </x:c>
      <x:c r="J499" s="25" t="str">
        <x:v>Smartphone</x:v>
      </x:c>
      <x:c r="K499" s="25" t="n">
        <x:v>6</x:v>
      </x:c>
      <x:c r="L499" s="26" t="n">
        <x:v>12702</x:v>
      </x:c>
      <x:c r="M499" s="27" t="n">
        <x:v>0.1</x:v>
      </x:c>
      <x:c r="N499" s="26" t="n">
        <x:f>K499*L499</x:f>
        <x:v>76212</x:v>
      </x:c>
      <x:c r="O499" s="26" t="n">
        <x:f>N499*(1-M499)</x:f>
        <x:v>68590.8</x:v>
      </x:c>
      <x:c r="P499" s="26" t="n">
        <x:v>11135</x:v>
      </x:c>
      <x:c r="Q499" s="26" t="n">
        <x:f>K499*P499</x:f>
        <x:v>66810</x:v>
      </x:c>
      <x:c r="R499" s="26" t="n">
        <x:f>O499-Q499</x:f>
        <x:v>1780.800000000003</x:v>
      </x:c>
      <x:c r="S499" s="28" t="n">
        <x:f>IF(O499=0,0,R499/O499)</x:f>
        <x:v>0.025962665546983017</x:v>
      </x:c>
      <x:c r="T499" s="25" t="str">
        <x:v>Bank Transfer</x:v>
      </x:c>
      <x:c r="U499" s="25" t="str">
        <x:v>Completed</x:v>
      </x:c>
      <x:c r="V499" s="29" t="n">
        <x:v>4</x:v>
      </x:c>
    </x:row>
    <x:row r="500">
      <x:c r="A500" s="23" t="str">
        <x:v>MAN-2025-00499</x:v>
      </x:c>
      <x:c r="B500" s="24" t="n">
        <x:v>45821</x:v>
      </x:c>
      <x:c r="C500" s="25" t="str">
        <x:v>Mansoura</x:v>
      </x:c>
      <x:c r="D500" s="25" t="str">
        <x:v>Talkha</x:v>
      </x:c>
      <x:c r="E500" s="25" t="str">
        <x:v>Ali Sayed</x:v>
      </x:c>
      <x:c r="F500" s="25" t="str">
        <x:v>Salma Sayed</x:v>
      </x:c>
      <x:c r="G500" s="25" t="str">
        <x:v>Consumer</x:v>
      </x:c>
      <x:c r="H500" s="25" t="str">
        <x:v>Mobile App</x:v>
      </x:c>
      <x:c r="I500" s="25" t="str">
        <x:v>Electronics</x:v>
      </x:c>
      <x:c r="J500" s="25" t="str">
        <x:v>Smartphone</x:v>
      </x:c>
      <x:c r="K500" s="25" t="n">
        <x:v>5</x:v>
      </x:c>
      <x:c r="L500" s="26" t="n">
        <x:v>12190</x:v>
      </x:c>
      <x:c r="M500" s="27" t="n">
        <x:v>0.05</x:v>
      </x:c>
      <x:c r="N500" s="26" t="n">
        <x:f>K500*L500</x:f>
        <x:v>60950</x:v>
      </x:c>
      <x:c r="O500" s="26" t="n">
        <x:f>N500*(1-M500)</x:f>
        <x:v>57902.5</x:v>
      </x:c>
      <x:c r="P500" s="26" t="n">
        <x:v>10849</x:v>
      </x:c>
      <x:c r="Q500" s="26" t="n">
        <x:f>K500*P500</x:f>
        <x:v>54245</x:v>
      </x:c>
      <x:c r="R500" s="26" t="n">
        <x:f>O500-Q500</x:f>
        <x:v>3657.5</x:v>
      </x:c>
      <x:c r="S500" s="28" t="n">
        <x:f>IF(O500=0,0,R500/O500)</x:f>
        <x:v>0.06316652994257588</x:v>
      </x:c>
      <x:c r="T500" s="25" t="str">
        <x:v>Debit Card</x:v>
      </x:c>
      <x:c r="U500" s="25" t="str">
        <x:v>Returned</x:v>
      </x:c>
      <x:c r="V500" s="29" t="n">
        <x:v>4</x:v>
      </x:c>
    </x:row>
    <x:row r="501">
      <x:c r="A501" s="23" t="str">
        <x:v>MAN-2025-00500</x:v>
      </x:c>
      <x:c r="B501" s="24" t="n">
        <x:v>46018</x:v>
      </x:c>
      <x:c r="C501" s="25" t="str">
        <x:v>Mansoura</x:v>
      </x:c>
      <x:c r="D501" s="25" t="str">
        <x:v>Mit Ghamr</x:v>
      </x:c>
      <x:c r="E501" s="25" t="str">
        <x:v>Youssef Fathy</x:v>
      </x:c>
      <x:c r="F501" s="25" t="str">
        <x:v>Ahmed Gamal</x:v>
      </x:c>
      <x:c r="G501" s="25" t="str">
        <x:v>Small Business</x:v>
      </x:c>
      <x:c r="H501" s="25" t="str">
        <x:v>Website</x:v>
      </x:c>
      <x:c r="I501" s="25" t="str">
        <x:v>Electronics</x:v>
      </x:c>
      <x:c r="J501" s="25" t="str">
        <x:v>Laptop</x:v>
      </x:c>
      <x:c r="K501" s="25" t="n">
        <x:v>4</x:v>
      </x:c>
      <x:c r="L501" s="26" t="n">
        <x:v>24963</x:v>
      </x:c>
      <x:c r="M501" s="27" t="n">
        <x:v>0</x:v>
      </x:c>
      <x:c r="N501" s="26" t="n">
        <x:f>K501*L501</x:f>
        <x:v>99852</x:v>
      </x:c>
      <x:c r="O501" s="26" t="n">
        <x:f>N501*(1-M501)</x:f>
        <x:v>99852</x:v>
      </x:c>
      <x:c r="P501" s="26" t="n">
        <x:v>21819</x:v>
      </x:c>
      <x:c r="Q501" s="26" t="n">
        <x:f>K501*P501</x:f>
        <x:v>87276</x:v>
      </x:c>
      <x:c r="R501" s="26" t="n">
        <x:f>O501-Q501</x:f>
        <x:v>12576</x:v>
      </x:c>
      <x:c r="S501" s="28" t="n">
        <x:f>IF(O501=0,0,R501/O501)</x:f>
        <x:v>0.12594640067299603</x:v>
      </x:c>
      <x:c r="T501" s="25" t="str">
        <x:v>Cash</x:v>
      </x:c>
      <x:c r="U501" s="25" t="str">
        <x:v>Returned</x:v>
      </x:c>
      <x:c r="V501" s="29" t="n">
        <x:v>5</x:v>
      </x:c>
    </x:row>
    <x:row r="502">
      <x:c r="A502" s="23" t="str">
        <x:v>MAN-2025-00501</x:v>
      </x:c>
      <x:c r="B502" s="24" t="n">
        <x:v>45679</x:v>
      </x:c>
      <x:c r="C502" s="25" t="str">
        <x:v>Mansoura</x:v>
      </x:c>
      <x:c r="D502" s="25" t="str">
        <x:v>Talkha</x:v>
      </x:c>
      <x:c r="E502" s="25" t="str">
        <x:v>Youssef Fathy</x:v>
      </x:c>
      <x:c r="F502" s="25" t="str">
        <x:v>Mahmoud Khalil</x:v>
      </x:c>
      <x:c r="G502" s="25" t="str">
        <x:v>Consumer</x:v>
      </x:c>
      <x:c r="H502" s="25" t="str">
        <x:v>Phone Order</x:v>
      </x:c>
      <x:c r="I502" s="25" t="str">
        <x:v>Office Supplies</x:v>
      </x:c>
      <x:c r="J502" s="25" t="str">
        <x:v>Paper Box</x:v>
      </x:c>
      <x:c r="K502" s="25" t="n">
        <x:v>1</x:v>
      </x:c>
      <x:c r="L502" s="26" t="n">
        <x:v>367</x:v>
      </x:c>
      <x:c r="M502" s="27" t="n">
        <x:v>0</x:v>
      </x:c>
      <x:c r="N502" s="26" t="n">
        <x:f>K502*L502</x:f>
        <x:v>367</x:v>
      </x:c>
      <x:c r="O502" s="26" t="n">
        <x:f>N502*(1-M502)</x:f>
        <x:v>367</x:v>
      </x:c>
      <x:c r="P502" s="26" t="n">
        <x:v>264</x:v>
      </x:c>
      <x:c r="Q502" s="26" t="n">
        <x:f>K502*P502</x:f>
        <x:v>264</x:v>
      </x:c>
      <x:c r="R502" s="26" t="n">
        <x:f>O502-Q502</x:f>
        <x:v>103</x:v>
      </x:c>
      <x:c r="S502" s="28" t="n">
        <x:f>IF(O502=0,0,R502/O502)</x:f>
        <x:v>0.28065395095367845</x:v>
      </x:c>
      <x:c r="T502" s="25" t="str">
        <x:v>Credit Card</x:v>
      </x:c>
      <x:c r="U502" s="25" t="str">
        <x:v>Completed</x:v>
      </x:c>
      <x:c r="V502" s="29" t="n">
        <x:v>4</x:v>
      </x:c>
    </x:row>
    <x:row r="503">
      <x:c r="A503" s="23" t="str">
        <x:v>MAN-2025-00502</x:v>
      </x:c>
      <x:c r="B503" s="24" t="n">
        <x:v>45902</x:v>
      </x:c>
      <x:c r="C503" s="25" t="str">
        <x:v>Mansoura</x:v>
      </x:c>
      <x:c r="D503" s="25" t="str">
        <x:v>Talkha</x:v>
      </x:c>
      <x:c r="E503" s="25" t="str">
        <x:v>Youssef Fathy</x:v>
      </x:c>
      <x:c r="F503" s="25" t="str">
        <x:v>Mohamed Tarek</x:v>
      </x:c>
      <x:c r="G503" s="25" t="str">
        <x:v>Corporate</x:v>
      </x:c>
      <x:c r="H503" s="25" t="str">
        <x:v>Mobile App</x:v>
      </x:c>
      <x:c r="I503" s="25" t="str">
        <x:v>Electronics</x:v>
      </x:c>
      <x:c r="J503" s="25" t="str">
        <x:v>Laptop</x:v>
      </x:c>
      <x:c r="K503" s="25" t="n">
        <x:v>2</x:v>
      </x:c>
      <x:c r="L503" s="26" t="n">
        <x:v>25244</x:v>
      </x:c>
      <x:c r="M503" s="27" t="n">
        <x:v>0.05</x:v>
      </x:c>
      <x:c r="N503" s="26" t="n">
        <x:f>K503*L503</x:f>
        <x:v>50488</x:v>
      </x:c>
      <x:c r="O503" s="26" t="n">
        <x:f>N503*(1-M503)</x:f>
        <x:v>47963.6</x:v>
      </x:c>
      <x:c r="P503" s="26" t="n">
        <x:v>21150</x:v>
      </x:c>
      <x:c r="Q503" s="26" t="n">
        <x:f>K503*P503</x:f>
        <x:v>42300</x:v>
      </x:c>
      <x:c r="R503" s="26" t="n">
        <x:f>O503-Q503</x:f>
        <x:v>5663.5999999999985</x:v>
      </x:c>
      <x:c r="S503" s="28" t="n">
        <x:f>IF(O503=0,0,R503/O503)</x:f>
        <x:v>0.11808121158545228</x:v>
      </x:c>
      <x:c r="T503" s="25" t="str">
        <x:v>Bank Transfer</x:v>
      </x:c>
      <x:c r="U503" s="25" t="str">
        <x:v>Completed</x:v>
      </x:c>
      <x:c r="V503" s="29" t="n">
        <x:v>4</x:v>
      </x:c>
    </x:row>
    <x:row r="504">
      <x:c r="A504" s="23" t="str">
        <x:v>MAN-2025-00503</x:v>
      </x:c>
      <x:c r="B504" s="24" t="n">
        <x:v>45759</x:v>
      </x:c>
      <x:c r="C504" s="25" t="str">
        <x:v>Mansoura</x:v>
      </x:c>
      <x:c r="D504" s="25" t="str">
        <x:v>Mit Ghamr</x:v>
      </x:c>
      <x:c r="E504" s="25" t="str">
        <x:v>Youssef Fathy</x:v>
      </x:c>
      <x:c r="F504" s="25" t="str">
        <x:v>Youssef Fathy</x:v>
      </x:c>
      <x:c r="G504" s="25" t="str">
        <x:v>Corporate</x:v>
      </x:c>
      <x:c r="H504" s="25" t="str">
        <x:v>Retail Store</x:v>
      </x:c>
      <x:c r="I504" s="25" t="str">
        <x:v>Home Appliances</x:v>
      </x:c>
      <x:c r="J504" s="25" t="str">
        <x:v>Washing Machine</x:v>
      </x:c>
      <x:c r="K504" s="25" t="n">
        <x:v>3</x:v>
      </x:c>
      <x:c r="L504" s="26" t="n">
        <x:v>15277</x:v>
      </x:c>
      <x:c r="M504" s="27" t="n">
        <x:v>0.1</x:v>
      </x:c>
      <x:c r="N504" s="26" t="n">
        <x:f>K504*L504</x:f>
        <x:v>45831</x:v>
      </x:c>
      <x:c r="O504" s="26" t="n">
        <x:f>N504*(1-M504)</x:f>
        <x:v>41247.9</x:v>
      </x:c>
      <x:c r="P504" s="26" t="n">
        <x:v>14334</x:v>
      </x:c>
      <x:c r="Q504" s="26" t="n">
        <x:f>K504*P504</x:f>
        <x:v>43002</x:v>
      </x:c>
      <x:c r="R504" s="26" t="n">
        <x:f>O504-Q504</x:f>
        <x:v>-1754.0999999999985</x:v>
      </x:c>
      <x:c r="S504" s="28" t="n">
        <x:f>IF(O504=0,0,R504/O504)</x:f>
        <x:v>-0.04252580131352138</x:v>
      </x:c>
      <x:c r="T504" s="25" t="str">
        <x:v>Bank Transfer</x:v>
      </x:c>
      <x:c r="U504" s="25" t="str">
        <x:v>Completed</x:v>
      </x:c>
      <x:c r="V504" s="29" t="n">
        <x:v>5</x:v>
      </x:c>
    </x:row>
    <x:row r="505">
      <x:c r="A505" s="23" t="str">
        <x:v>MAN-2025-00504</x:v>
      </x:c>
      <x:c r="B505" s="24" t="n">
        <x:v>45881</x:v>
      </x:c>
      <x:c r="C505" s="25" t="str">
        <x:v>Mansoura</x:v>
      </x:c>
      <x:c r="D505" s="25" t="str">
        <x:v>Mit Ghamr</x:v>
      </x:c>
      <x:c r="E505" s="25" t="str">
        <x:v>Salma Mansour</x:v>
      </x:c>
      <x:c r="F505" s="25" t="str">
        <x:v>Karim Hassan</x:v>
      </x:c>
      <x:c r="G505" s="25" t="str">
        <x:v>Consumer</x:v>
      </x:c>
      <x:c r="H505" s="25" t="str">
        <x:v>Retail Store</x:v>
      </x:c>
      <x:c r="I505" s="25" t="str">
        <x:v>Office Supplies</x:v>
      </x:c>
      <x:c r="J505" s="25" t="str">
        <x:v>Printer</x:v>
      </x:c>
      <x:c r="K505" s="25" t="n">
        <x:v>4</x:v>
      </x:c>
      <x:c r="L505" s="26" t="n">
        <x:v>6493</x:v>
      </x:c>
      <x:c r="M505" s="27" t="n">
        <x:v>0.1</x:v>
      </x:c>
      <x:c r="N505" s="26" t="n">
        <x:f>K505*L505</x:f>
        <x:v>25972</x:v>
      </x:c>
      <x:c r="O505" s="26" t="n">
        <x:f>N505*(1-M505)</x:f>
        <x:v>23374.8</x:v>
      </x:c>
      <x:c r="P505" s="26" t="n">
        <x:v>5300</x:v>
      </x:c>
      <x:c r="Q505" s="26" t="n">
        <x:f>K505*P505</x:f>
        <x:v>21200</x:v>
      </x:c>
      <x:c r="R505" s="26" t="n">
        <x:f>O505-Q505</x:f>
        <x:v>2174.7999999999993</x:v>
      </x:c>
      <x:c r="S505" s="28" t="n">
        <x:f>IF(O505=0,0,R505/O505)</x:f>
        <x:v>0.09304036825983535</x:v>
      </x:c>
      <x:c r="T505" s="25" t="str">
        <x:v>Digital Wallet</x:v>
      </x:c>
      <x:c r="U505" s="25" t="str">
        <x:v>Completed</x:v>
      </x:c>
      <x:c r="V505" s="29" t="n">
        <x:v>4</x:v>
      </x:c>
    </x:row>
    <x:row r="506">
      <x:c r="A506" s="23" t="str">
        <x:v>MAN-2025-00505</x:v>
      </x:c>
      <x:c r="B506" s="24" t="n">
        <x:v>45980</x:v>
      </x:c>
      <x:c r="C506" s="25" t="str">
        <x:v>Mansoura</x:v>
      </x:c>
      <x:c r="D506" s="25" t="str">
        <x:v>Mansoura City</x:v>
      </x:c>
      <x:c r="E506" s="25" t="str">
        <x:v>Salma Mansour</x:v>
      </x:c>
      <x:c r="F506" s="25" t="str">
        <x:v>Mariam Fathy</x:v>
      </x:c>
      <x:c r="G506" s="25" t="str">
        <x:v>Consumer</x:v>
      </x:c>
      <x:c r="H506" s="25" t="str">
        <x:v>Phone Order</x:v>
      </x:c>
      <x:c r="I506" s="25" t="str">
        <x:v>Furniture</x:v>
      </x:c>
      <x:c r="J506" s="25" t="str">
        <x:v>Desk</x:v>
      </x:c>
      <x:c r="K506" s="25" t="n">
        <x:v>4</x:v>
      </x:c>
      <x:c r="L506" s="26" t="n">
        <x:v>5023</x:v>
      </x:c>
      <x:c r="M506" s="27" t="n">
        <x:v>0</x:v>
      </x:c>
      <x:c r="N506" s="26" t="n">
        <x:f>K506*L506</x:f>
        <x:v>20092</x:v>
      </x:c>
      <x:c r="O506" s="26" t="n">
        <x:f>N506*(1-M506)</x:f>
        <x:v>20092</x:v>
      </x:c>
      <x:c r="P506" s="26" t="n">
        <x:v>3896</x:v>
      </x:c>
      <x:c r="Q506" s="26" t="n">
        <x:f>K506*P506</x:f>
        <x:v>15584</x:v>
      </x:c>
      <x:c r="R506" s="26" t="n">
        <x:f>O506-Q506</x:f>
        <x:v>4508</x:v>
      </x:c>
      <x:c r="S506" s="28" t="n">
        <x:f>IF(O506=0,0,R506/O506)</x:f>
        <x:v>0.22436790762492534</x:v>
      </x:c>
      <x:c r="T506" s="25" t="str">
        <x:v>Credit Card</x:v>
      </x:c>
      <x:c r="U506" s="25" t="str">
        <x:v>Completed</x:v>
      </x:c>
      <x:c r="V506" s="29" t="n">
        <x:v>3</x:v>
      </x:c>
    </x:row>
    <x:row r="507">
      <x:c r="A507" s="23" t="str">
        <x:v>MAN-2025-00506</x:v>
      </x:c>
      <x:c r="B507" s="24" t="n">
        <x:v>45831</x:v>
      </x:c>
      <x:c r="C507" s="25" t="str">
        <x:v>Mansoura</x:v>
      </x:c>
      <x:c r="D507" s="25" t="str">
        <x:v>Mansoura City</x:v>
      </x:c>
      <x:c r="E507" s="25" t="str">
        <x:v>Youssef Fathy</x:v>
      </x:c>
      <x:c r="F507" s="25" t="str">
        <x:v>Mariam Khalil</x:v>
      </x:c>
      <x:c r="G507" s="25" t="str">
        <x:v>Corporate</x:v>
      </x:c>
      <x:c r="H507" s="25" t="str">
        <x:v>Phone Order</x:v>
      </x:c>
      <x:c r="I507" s="25" t="str">
        <x:v>Home Appliances</x:v>
      </x:c>
      <x:c r="J507" s="25" t="str">
        <x:v>Microwave</x:v>
      </x:c>
      <x:c r="K507" s="25" t="n">
        <x:v>4</x:v>
      </x:c>
      <x:c r="L507" s="26" t="n">
        <x:v>5415</x:v>
      </x:c>
      <x:c r="M507" s="27" t="n">
        <x:v>0.05</x:v>
      </x:c>
      <x:c r="N507" s="26" t="n">
        <x:f>K507*L507</x:f>
        <x:v>21660</x:v>
      </x:c>
      <x:c r="O507" s="26" t="n">
        <x:f>N507*(1-M507)</x:f>
        <x:v>20577</x:v>
      </x:c>
      <x:c r="P507" s="26" t="n">
        <x:v>4382</x:v>
      </x:c>
      <x:c r="Q507" s="26" t="n">
        <x:f>K507*P507</x:f>
        <x:v>17528</x:v>
      </x:c>
      <x:c r="R507" s="26" t="n">
        <x:f>O507-Q507</x:f>
        <x:v>3049</x:v>
      </x:c>
      <x:c r="S507" s="28" t="n">
        <x:f>IF(O507=0,0,R507/O507)</x:f>
        <x:v>0.14817514700879622</x:v>
      </x:c>
      <x:c r="T507" s="25" t="str">
        <x:v>Digital Wallet</x:v>
      </x:c>
      <x:c r="U507" s="25" t="str">
        <x:v>Completed</x:v>
      </x:c>
      <x:c r="V507" s="29" t="n">
        <x:v>5</x:v>
      </x:c>
    </x:row>
    <x:row r="508">
      <x:c r="A508" s="23" t="str">
        <x:v>MAN-2025-00507</x:v>
      </x:c>
      <x:c r="B508" s="24" t="n">
        <x:v>45860</x:v>
      </x:c>
      <x:c r="C508" s="25" t="str">
        <x:v>Mansoura</x:v>
      </x:c>
      <x:c r="D508" s="25" t="str">
        <x:v>Talkha</x:v>
      </x:c>
      <x:c r="E508" s="25" t="str">
        <x:v>Youssef Fathy</x:v>
      </x:c>
      <x:c r="F508" s="25" t="str">
        <x:v>Aya Fathy</x:v>
      </x:c>
      <x:c r="G508" s="25" t="str">
        <x:v>Corporate</x:v>
      </x:c>
      <x:c r="H508" s="25" t="str">
        <x:v>Phone Order</x:v>
      </x:c>
      <x:c r="I508" s="25" t="str">
        <x:v>Furniture</x:v>
      </x:c>
      <x:c r="J508" s="25" t="str">
        <x:v>Bookshelf</x:v>
      </x:c>
      <x:c r="K508" s="25" t="n">
        <x:v>1</x:v>
      </x:c>
      <x:c r="L508" s="26" t="n">
        <x:v>3022</x:v>
      </x:c>
      <x:c r="M508" s="27" t="n">
        <x:v>0</x:v>
      </x:c>
      <x:c r="N508" s="26" t="n">
        <x:f>K508*L508</x:f>
        <x:v>3022</x:v>
      </x:c>
      <x:c r="O508" s="26" t="n">
        <x:f>N508*(1-M508)</x:f>
        <x:v>3022</x:v>
      </x:c>
      <x:c r="P508" s="26" t="n">
        <x:v>2163</x:v>
      </x:c>
      <x:c r="Q508" s="26" t="n">
        <x:f>K508*P508</x:f>
        <x:v>2163</x:v>
      </x:c>
      <x:c r="R508" s="26" t="n">
        <x:f>O508-Q508</x:f>
        <x:v>859</x:v>
      </x:c>
      <x:c r="S508" s="28" t="n">
        <x:f>IF(O508=0,0,R508/O508)</x:f>
        <x:v>0.28424884182660487</x:v>
      </x:c>
      <x:c r="T508" s="25" t="str">
        <x:v>Digital Wallet</x:v>
      </x:c>
      <x:c r="U508" s="25" t="str">
        <x:v>Completed</x:v>
      </x:c>
      <x:c r="V508" s="29" t="n">
        <x:v>5</x:v>
      </x:c>
    </x:row>
    <x:row r="509">
      <x:c r="A509" s="23" t="str">
        <x:v>MAN-2025-00508</x:v>
      </x:c>
      <x:c r="B509" s="24" t="n">
        <x:v>45665</x:v>
      </x:c>
      <x:c r="C509" s="25" t="str">
        <x:v>Mansoura</x:v>
      </x:c>
      <x:c r="D509" s="25" t="str">
        <x:v>Aga</x:v>
      </x:c>
      <x:c r="E509" s="25" t="str">
        <x:v>Salma Mansour</x:v>
      </x:c>
      <x:c r="F509" s="25" t="str">
        <x:v>Amr Samir</x:v>
      </x:c>
      <x:c r="G509" s="25" t="str">
        <x:v>Small Business</x:v>
      </x:c>
      <x:c r="H509" s="25" t="str">
        <x:v>Retail Store</x:v>
      </x:c>
      <x:c r="I509" s="25" t="str">
        <x:v>Furniture</x:v>
      </x:c>
      <x:c r="J509" s="25" t="str">
        <x:v>Sofa</x:v>
      </x:c>
      <x:c r="K509" s="25" t="n">
        <x:v>6</x:v>
      </x:c>
      <x:c r="L509" s="26" t="n">
        <x:v>13685</x:v>
      </x:c>
      <x:c r="M509" s="27" t="n">
        <x:v>0</x:v>
      </x:c>
      <x:c r="N509" s="26" t="n">
        <x:f>K509*L509</x:f>
        <x:v>82110</x:v>
      </x:c>
      <x:c r="O509" s="26" t="n">
        <x:f>N509*(1-M509)</x:f>
        <x:v>82110</x:v>
      </x:c>
      <x:c r="P509" s="26" t="n">
        <x:v>10556</x:v>
      </x:c>
      <x:c r="Q509" s="26" t="n">
        <x:f>K509*P509</x:f>
        <x:v>63336</x:v>
      </x:c>
      <x:c r="R509" s="26" t="n">
        <x:f>O509-Q509</x:f>
        <x:v>18774</x:v>
      </x:c>
      <x:c r="S509" s="28" t="n">
        <x:f>IF(O509=0,0,R509/O509)</x:f>
        <x:v>0.22864450127877237</x:v>
      </x:c>
      <x:c r="T509" s="25" t="str">
        <x:v>Debit Card</x:v>
      </x:c>
      <x:c r="U509" s="25" t="str">
        <x:v>Cancelled</x:v>
      </x:c>
      <x:c r="V509" s="29" t="n">
        <x:v>4</x:v>
      </x:c>
    </x:row>
    <x:row r="510">
      <x:c r="A510" s="23" t="str">
        <x:v>MAN-2025-00509</x:v>
      </x:c>
      <x:c r="B510" s="24" t="n">
        <x:v>45728</x:v>
      </x:c>
      <x:c r="C510" s="25" t="str">
        <x:v>Mansoura</x:v>
      </x:c>
      <x:c r="D510" s="25" t="str">
        <x:v>Aga</x:v>
      </x:c>
      <x:c r="E510" s="25" t="str">
        <x:v>Salma Mansour</x:v>
      </x:c>
      <x:c r="F510" s="25" t="str">
        <x:v>Hana Khalil</x:v>
      </x:c>
      <x:c r="G510" s="25" t="str">
        <x:v>Small Business</x:v>
      </x:c>
      <x:c r="H510" s="25" t="str">
        <x:v>Mobile App</x:v>
      </x:c>
      <x:c r="I510" s="25" t="str">
        <x:v>Office Supplies</x:v>
      </x:c>
      <x:c r="J510" s="25" t="str">
        <x:v>Printer</x:v>
      </x:c>
      <x:c r="K510" s="25" t="n">
        <x:v>4</x:v>
      </x:c>
      <x:c r="L510" s="26" t="n">
        <x:v>6365</x:v>
      </x:c>
      <x:c r="M510" s="27" t="n">
        <x:v>0</x:v>
      </x:c>
      <x:c r="N510" s="26" t="n">
        <x:f>K510*L510</x:f>
        <x:v>25460</x:v>
      </x:c>
      <x:c r="O510" s="26" t="n">
        <x:f>N510*(1-M510)</x:f>
        <x:v>25460</x:v>
      </x:c>
      <x:c r="P510" s="26" t="n">
        <x:v>5452</x:v>
      </x:c>
      <x:c r="Q510" s="26" t="n">
        <x:f>K510*P510</x:f>
        <x:v>21808</x:v>
      </x:c>
      <x:c r="R510" s="26" t="n">
        <x:f>O510-Q510</x:f>
        <x:v>3652</x:v>
      </x:c>
      <x:c r="S510" s="28" t="n">
        <x:f>IF(O510=0,0,R510/O510)</x:f>
        <x:v>0.1434406912804399</x:v>
      </x:c>
      <x:c r="T510" s="25" t="str">
        <x:v>Debit Card</x:v>
      </x:c>
      <x:c r="U510" s="25" t="str">
        <x:v>Completed</x:v>
      </x:c>
      <x:c r="V510" s="29" t="n">
        <x:v>3</x:v>
      </x:c>
    </x:row>
    <x:row r="511">
      <x:c r="A511" s="23" t="str">
        <x:v>MAN-2025-00510</x:v>
      </x:c>
      <x:c r="B511" s="24" t="n">
        <x:v>45968</x:v>
      </x:c>
      <x:c r="C511" s="25" t="str">
        <x:v>Mansoura</x:v>
      </x:c>
      <x:c r="D511" s="25" t="str">
        <x:v>Talkha</x:v>
      </x:c>
      <x:c r="E511" s="25" t="str">
        <x:v>Youssef Fathy</x:v>
      </x:c>
      <x:c r="F511" s="25" t="str">
        <x:v>Ahmed Fathy</x:v>
      </x:c>
      <x:c r="G511" s="25" t="str">
        <x:v>Small Business</x:v>
      </x:c>
      <x:c r="H511" s="25" t="str">
        <x:v>Phone Order</x:v>
      </x:c>
      <x:c r="I511" s="25" t="str">
        <x:v>Office Supplies</x:v>
      </x:c>
      <x:c r="J511" s="25" t="str">
        <x:v>Ink Cartridge</x:v>
      </x:c>
      <x:c r="K511" s="25" t="n">
        <x:v>5</x:v>
      </x:c>
      <x:c r="L511" s="26" t="n">
        <x:v>790</x:v>
      </x:c>
      <x:c r="M511" s="27" t="n">
        <x:v>0.15</x:v>
      </x:c>
      <x:c r="N511" s="26" t="n">
        <x:f>K511*L511</x:f>
        <x:v>3950</x:v>
      </x:c>
      <x:c r="O511" s="26" t="n">
        <x:f>N511*(1-M511)</x:f>
        <x:v>3357.5</x:v>
      </x:c>
      <x:c r="P511" s="26" t="n">
        <x:v>561</x:v>
      </x:c>
      <x:c r="Q511" s="26" t="n">
        <x:f>K511*P511</x:f>
        <x:v>2805</x:v>
      </x:c>
      <x:c r="R511" s="26" t="n">
        <x:f>O511-Q511</x:f>
        <x:v>552.5</x:v>
      </x:c>
      <x:c r="S511" s="28" t="n">
        <x:f>IF(O511=0,0,R511/O511)</x:f>
        <x:v>0.16455696202531644</x:v>
      </x:c>
      <x:c r="T511" s="25" t="str">
        <x:v>Cash</x:v>
      </x:c>
      <x:c r="U511" s="25" t="str">
        <x:v>Completed</x:v>
      </x:c>
      <x:c r="V511" s="29" t="n">
        <x:v>5</x:v>
      </x:c>
    </x:row>
    <x:row r="512">
      <x:c r="A512" s="23" t="str">
        <x:v>MAN-2025-00511</x:v>
      </x:c>
      <x:c r="B512" s="24" t="n">
        <x:v>46002</x:v>
      </x:c>
      <x:c r="C512" s="25" t="str">
        <x:v>Mansoura</x:v>
      </x:c>
      <x:c r="D512" s="25" t="str">
        <x:v>Sherbin</x:v>
      </x:c>
      <x:c r="E512" s="25" t="str">
        <x:v>Ali Sayed</x:v>
      </x:c>
      <x:c r="F512" s="25" t="str">
        <x:v>Ahmed Hassan</x:v>
      </x:c>
      <x:c r="G512" s="25" t="str">
        <x:v>Consumer</x:v>
      </x:c>
      <x:c r="H512" s="25" t="str">
        <x:v>Website</x:v>
      </x:c>
      <x:c r="I512" s="25" t="str">
        <x:v>Office Supplies</x:v>
      </x:c>
      <x:c r="J512" s="25" t="str">
        <x:v>Printer</x:v>
      </x:c>
      <x:c r="K512" s="25" t="n">
        <x:v>3</x:v>
      </x:c>
      <x:c r="L512" s="26" t="n">
        <x:v>6935</x:v>
      </x:c>
      <x:c r="M512" s="27" t="n">
        <x:v>0</x:v>
      </x:c>
      <x:c r="N512" s="26" t="n">
        <x:f>K512*L512</x:f>
        <x:v>20805</x:v>
      </x:c>
      <x:c r="O512" s="26" t="n">
        <x:f>N512*(1-M512)</x:f>
        <x:v>20805</x:v>
      </x:c>
      <x:c r="P512" s="26" t="n">
        <x:v>5470</x:v>
      </x:c>
      <x:c r="Q512" s="26" t="n">
        <x:f>K512*P512</x:f>
        <x:v>16410</x:v>
      </x:c>
      <x:c r="R512" s="26" t="n">
        <x:f>O512-Q512</x:f>
        <x:v>4395</x:v>
      </x:c>
      <x:c r="S512" s="28" t="n">
        <x:f>IF(O512=0,0,R512/O512)</x:f>
        <x:v>0.21124729632299927</x:v>
      </x:c>
      <x:c r="T512" s="25" t="str">
        <x:v>Credit Card</x:v>
      </x:c>
      <x:c r="U512" s="25" t="str">
        <x:v>Completed</x:v>
      </x:c>
      <x:c r="V512" s="29" t="n">
        <x:v>5</x:v>
      </x:c>
    </x:row>
    <x:row r="513">
      <x:c r="A513" s="23" t="str">
        <x:v>MAN-2025-00512</x:v>
      </x:c>
      <x:c r="B513" s="24" t="n">
        <x:v>45747</x:v>
      </x:c>
      <x:c r="C513" s="25" t="str">
        <x:v>Mansoura</x:v>
      </x:c>
      <x:c r="D513" s="25" t="str">
        <x:v>Aga</x:v>
      </x:c>
      <x:c r="E513" s="25" t="str">
        <x:v>Salma Mansour</x:v>
      </x:c>
      <x:c r="F513" s="25" t="str">
        <x:v>Sara Mansour</x:v>
      </x:c>
      <x:c r="G513" s="25" t="str">
        <x:v>Consumer</x:v>
      </x:c>
      <x:c r="H513" s="25" t="str">
        <x:v>Retail Store</x:v>
      </x:c>
      <x:c r="I513" s="25" t="str">
        <x:v>Furniture</x:v>
      </x:c>
      <x:c r="J513" s="25" t="str">
        <x:v>Sofa</x:v>
      </x:c>
      <x:c r="K513" s="25" t="n">
        <x:v>3</x:v>
      </x:c>
      <x:c r="L513" s="26" t="n">
        <x:v>13507</x:v>
      </x:c>
      <x:c r="M513" s="27" t="n">
        <x:v>0</x:v>
      </x:c>
      <x:c r="N513" s="26" t="n">
        <x:f>K513*L513</x:f>
        <x:v>40521</x:v>
      </x:c>
      <x:c r="O513" s="26" t="n">
        <x:f>N513*(1-M513)</x:f>
        <x:v>40521</x:v>
      </x:c>
      <x:c r="P513" s="26" t="n">
        <x:v>10693</x:v>
      </x:c>
      <x:c r="Q513" s="26" t="n">
        <x:f>K513*P513</x:f>
        <x:v>32079</x:v>
      </x:c>
      <x:c r="R513" s="26" t="n">
        <x:f>O513-Q513</x:f>
        <x:v>8442</x:v>
      </x:c>
      <x:c r="S513" s="28" t="n">
        <x:f>IF(O513=0,0,R513/O513)</x:f>
        <x:v>0.20833641815355</x:v>
      </x:c>
      <x:c r="T513" s="25" t="str">
        <x:v>Digital Wallet</x:v>
      </x:c>
      <x:c r="U513" s="25" t="str">
        <x:v>Completed</x:v>
      </x:c>
      <x:c r="V513" s="29" t="n">
        <x:v>4</x:v>
      </x:c>
    </x:row>
    <x:row r="514">
      <x:c r="A514" s="23" t="str">
        <x:v>MAN-2025-00513</x:v>
      </x:c>
      <x:c r="B514" s="24" t="n">
        <x:v>45810</x:v>
      </x:c>
      <x:c r="C514" s="25" t="str">
        <x:v>Mansoura</x:v>
      </x:c>
      <x:c r="D514" s="25" t="str">
        <x:v>Sherbin</x:v>
      </x:c>
      <x:c r="E514" s="25" t="str">
        <x:v>Youssef Fathy</x:v>
      </x:c>
      <x:c r="F514" s="25" t="str">
        <x:v>Amr Ibrahim</x:v>
      </x:c>
      <x:c r="G514" s="25" t="str">
        <x:v>Small Business</x:v>
      </x:c>
      <x:c r="H514" s="25" t="str">
        <x:v>Website</x:v>
      </x:c>
      <x:c r="I514" s="25" t="str">
        <x:v>Office Supplies</x:v>
      </x:c>
      <x:c r="J514" s="25" t="str">
        <x:v>Ink Cartridge</x:v>
      </x:c>
      <x:c r="K514" s="25" t="n">
        <x:v>5</x:v>
      </x:c>
      <x:c r="L514" s="26" t="n">
        <x:v>874</x:v>
      </x:c>
      <x:c r="M514" s="27" t="n">
        <x:v>0.1</x:v>
      </x:c>
      <x:c r="N514" s="26" t="n">
        <x:f>K514*L514</x:f>
        <x:v>4370</x:v>
      </x:c>
      <x:c r="O514" s="26" t="n">
        <x:f>N514*(1-M514)</x:f>
        <x:v>3933</x:v>
      </x:c>
      <x:c r="P514" s="26" t="n">
        <x:v>560</x:v>
      </x:c>
      <x:c r="Q514" s="26" t="n">
        <x:f>K514*P514</x:f>
        <x:v>2800</x:v>
      </x:c>
      <x:c r="R514" s="26" t="n">
        <x:f>O514-Q514</x:f>
        <x:v>1133</x:v>
      </x:c>
      <x:c r="S514" s="28" t="n">
        <x:f>IF(O514=0,0,R514/O514)</x:f>
        <x:v>0.28807526061530636</x:v>
      </x:c>
      <x:c r="T514" s="25" t="str">
        <x:v>Digital Wallet</x:v>
      </x:c>
      <x:c r="U514" s="25" t="str">
        <x:v>Returned</x:v>
      </x:c>
      <x:c r="V514" s="29" t="n">
        <x:v>5</x:v>
      </x:c>
    </x:row>
    <x:row r="515">
      <x:c r="A515" s="23" t="str">
        <x:v>MAN-2025-00514</x:v>
      </x:c>
      <x:c r="B515" s="24" t="n">
        <x:v>45910</x:v>
      </x:c>
      <x:c r="C515" s="25" t="str">
        <x:v>Mansoura</x:v>
      </x:c>
      <x:c r="D515" s="25" t="str">
        <x:v>Mansoura City</x:v>
      </x:c>
      <x:c r="E515" s="25" t="str">
        <x:v>Salma Mansour</x:v>
      </x:c>
      <x:c r="F515" s="25" t="str">
        <x:v>Omar Ibrahim</x:v>
      </x:c>
      <x:c r="G515" s="25" t="str">
        <x:v>Consumer</x:v>
      </x:c>
      <x:c r="H515" s="25" t="str">
        <x:v>Mobile App</x:v>
      </x:c>
      <x:c r="I515" s="25" t="str">
        <x:v>Electronics</x:v>
      </x:c>
      <x:c r="J515" s="25" t="str">
        <x:v>Smartphone</x:v>
      </x:c>
      <x:c r="K515" s="25" t="n">
        <x:v>2</x:v>
      </x:c>
      <x:c r="L515" s="26" t="n">
        <x:v>12794</x:v>
      </x:c>
      <x:c r="M515" s="27" t="n">
        <x:v>0.15</x:v>
      </x:c>
      <x:c r="N515" s="26" t="n">
        <x:f>K515*L515</x:f>
        <x:v>25588</x:v>
      </x:c>
      <x:c r="O515" s="26" t="n">
        <x:f>N515*(1-M515)</x:f>
        <x:v>21749.8</x:v>
      </x:c>
      <x:c r="P515" s="26" t="n">
        <x:v>10570</x:v>
      </x:c>
      <x:c r="Q515" s="26" t="n">
        <x:f>K515*P515</x:f>
        <x:v>21140</x:v>
      </x:c>
      <x:c r="R515" s="26" t="n">
        <x:f>O515-Q515</x:f>
        <x:v>609.7999999999993</x:v>
      </x:c>
      <x:c r="S515" s="28" t="n">
        <x:f>IF(O515=0,0,R515/O515)</x:f>
        <x:v>0.028037039421052116</x:v>
      </x:c>
      <x:c r="T515" s="25" t="str">
        <x:v>Cash</x:v>
      </x:c>
      <x:c r="U515" s="25" t="str">
        <x:v>Returned</x:v>
      </x:c>
      <x:c r="V515" s="29" t="n">
        <x:v>4</x:v>
      </x:c>
    </x:row>
    <x:row r="516">
      <x:c r="A516" s="23" t="str">
        <x:v>MAN-2025-00515</x:v>
      </x:c>
      <x:c r="B516" s="24" t="n">
        <x:v>45993</x:v>
      </x:c>
      <x:c r="C516" s="25" t="str">
        <x:v>Mansoura</x:v>
      </x:c>
      <x:c r="D516" s="25" t="str">
        <x:v>Aga</x:v>
      </x:c>
      <x:c r="E516" s="25" t="str">
        <x:v>Aya Farouk</x:v>
      </x:c>
      <x:c r="F516" s="25" t="str">
        <x:v>Nour Sayed</x:v>
      </x:c>
      <x:c r="G516" s="25" t="str">
        <x:v>Consumer</x:v>
      </x:c>
      <x:c r="H516" s="25" t="str">
        <x:v>Mobile App</x:v>
      </x:c>
      <x:c r="I516" s="25" t="str">
        <x:v>Office Supplies</x:v>
      </x:c>
      <x:c r="J516" s="25" t="str">
        <x:v>Paper Box</x:v>
      </x:c>
      <x:c r="K516" s="25" t="n">
        <x:v>3</x:v>
      </x:c>
      <x:c r="L516" s="26" t="n">
        <x:v>356</x:v>
      </x:c>
      <x:c r="M516" s="27" t="n">
        <x:v>0</x:v>
      </x:c>
      <x:c r="N516" s="26" t="n">
        <x:f>K516*L516</x:f>
        <x:v>1068</x:v>
      </x:c>
      <x:c r="O516" s="26" t="n">
        <x:f>N516*(1-M516)</x:f>
        <x:v>1068</x:v>
      </x:c>
      <x:c r="P516" s="26" t="n">
        <x:v>270</x:v>
      </x:c>
      <x:c r="Q516" s="26" t="n">
        <x:f>K516*P516</x:f>
        <x:v>810</x:v>
      </x:c>
      <x:c r="R516" s="26" t="n">
        <x:f>O516-Q516</x:f>
        <x:v>258</x:v>
      </x:c>
      <x:c r="S516" s="28" t="n">
        <x:f>IF(O516=0,0,R516/O516)</x:f>
        <x:v>0.24157303370786518</x:v>
      </x:c>
      <x:c r="T516" s="25" t="str">
        <x:v>Credit Card</x:v>
      </x:c>
      <x:c r="U516" s="25" t="str">
        <x:v>Completed</x:v>
      </x:c>
      <x:c r="V516" s="29" t="n">
        <x:v>3</x:v>
      </x:c>
    </x:row>
    <x:row r="517">
      <x:c r="A517" s="23" t="str">
        <x:v>MAN-2025-00516</x:v>
      </x:c>
      <x:c r="B517" s="24" t="n">
        <x:v>45862</x:v>
      </x:c>
      <x:c r="C517" s="25" t="str">
        <x:v>Mansoura</x:v>
      </x:c>
      <x:c r="D517" s="25" t="str">
        <x:v>Talkha</x:v>
      </x:c>
      <x:c r="E517" s="25" t="str">
        <x:v>Aya Farouk</x:v>
      </x:c>
      <x:c r="F517" s="25" t="str">
        <x:v>Mostafa Nasser</x:v>
      </x:c>
      <x:c r="G517" s="25" t="str">
        <x:v>Consumer</x:v>
      </x:c>
      <x:c r="H517" s="25" t="str">
        <x:v>Website</x:v>
      </x:c>
      <x:c r="I517" s="25" t="str">
        <x:v>Furniture</x:v>
      </x:c>
      <x:c r="J517" s="25" t="str">
        <x:v>Office Chair</x:v>
      </x:c>
      <x:c r="K517" s="25" t="n">
        <x:v>1</x:v>
      </x:c>
      <x:c r="L517" s="26" t="n">
        <x:v>3985</x:v>
      </x:c>
      <x:c r="M517" s="27" t="n">
        <x:v>0</x:v>
      </x:c>
      <x:c r="N517" s="26" t="n">
        <x:f>K517*L517</x:f>
        <x:v>3985</x:v>
      </x:c>
      <x:c r="O517" s="26" t="n">
        <x:f>N517*(1-M517)</x:f>
        <x:v>3985</x:v>
      </x:c>
      <x:c r="P517" s="26" t="n">
        <x:v>2884</x:v>
      </x:c>
      <x:c r="Q517" s="26" t="n">
        <x:f>K517*P517</x:f>
        <x:v>2884</x:v>
      </x:c>
      <x:c r="R517" s="26" t="n">
        <x:f>O517-Q517</x:f>
        <x:v>1101</x:v>
      </x:c>
      <x:c r="S517" s="28" t="n">
        <x:f>IF(O517=0,0,R517/O517)</x:f>
        <x:v>0.27628607277289835</x:v>
      </x:c>
      <x:c r="T517" s="25" t="str">
        <x:v>Bank Transfer</x:v>
      </x:c>
      <x:c r="U517" s="25" t="str">
        <x:v>Returned</x:v>
      </x:c>
      <x:c r="V517" s="29" t="n">
        <x:v>5</x:v>
      </x:c>
    </x:row>
    <x:row r="518">
      <x:c r="A518" s="23" t="str">
        <x:v>MAN-2025-00517</x:v>
      </x:c>
      <x:c r="B518" s="24" t="n">
        <x:v>45716</x:v>
      </x:c>
      <x:c r="C518" s="25" t="str">
        <x:v>Mansoura</x:v>
      </x:c>
      <x:c r="D518" s="25" t="str">
        <x:v>Mit Ghamr</x:v>
      </x:c>
      <x:c r="E518" s="25" t="str">
        <x:v>Youssef Fathy</x:v>
      </x:c>
      <x:c r="F518" s="25" t="str">
        <x:v>Farah Adel</x:v>
      </x:c>
      <x:c r="G518" s="25" t="str">
        <x:v>Consumer</x:v>
      </x:c>
      <x:c r="H518" s="25" t="str">
        <x:v>Retail Store</x:v>
      </x:c>
      <x:c r="I518" s="25" t="str">
        <x:v>Office Supplies</x:v>
      </x:c>
      <x:c r="J518" s="25" t="str">
        <x:v>Ink Cartridge</x:v>
      </x:c>
      <x:c r="K518" s="25" t="n">
        <x:v>1</x:v>
      </x:c>
      <x:c r="L518" s="26" t="n">
        <x:v>877</x:v>
      </x:c>
      <x:c r="M518" s="27" t="n">
        <x:v>0.05</x:v>
      </x:c>
      <x:c r="N518" s="26" t="n">
        <x:f>K518*L518</x:f>
        <x:v>877</x:v>
      </x:c>
      <x:c r="O518" s="26" t="n">
        <x:f>N518*(1-M518)</x:f>
        <x:v>833.15</x:v>
      </x:c>
      <x:c r="P518" s="26" t="n">
        <x:v>556</x:v>
      </x:c>
      <x:c r="Q518" s="26" t="n">
        <x:f>K518*P518</x:f>
        <x:v>556</x:v>
      </x:c>
      <x:c r="R518" s="26" t="n">
        <x:f>O518-Q518</x:f>
        <x:v>277.15</x:v>
      </x:c>
      <x:c r="S518" s="28" t="n">
        <x:f>IF(O518=0,0,R518/O518)</x:f>
        <x:v>0.3326531837004141</x:v>
      </x:c>
      <x:c r="T518" s="25" t="str">
        <x:v>Cash</x:v>
      </x:c>
      <x:c r="U518" s="25" t="str">
        <x:v>Completed</x:v>
      </x:c>
      <x:c r="V518" s="29" t="n">
        <x:v>5</x:v>
      </x:c>
    </x:row>
    <x:row r="519">
      <x:c r="A519" s="23" t="str">
        <x:v>MAN-2025-00518</x:v>
      </x:c>
      <x:c r="B519" s="24" t="n">
        <x:v>45881</x:v>
      </x:c>
      <x:c r="C519" s="25" t="str">
        <x:v>Mansoura</x:v>
      </x:c>
      <x:c r="D519" s="25" t="str">
        <x:v>Sherbin</x:v>
      </x:c>
      <x:c r="E519" s="25" t="str">
        <x:v>Youssef Fathy</x:v>
      </x:c>
      <x:c r="F519" s="25" t="str">
        <x:v>Karim Gamal</x:v>
      </x:c>
      <x:c r="G519" s="25" t="str">
        <x:v>Consumer</x:v>
      </x:c>
      <x:c r="H519" s="25" t="str">
        <x:v>Website</x:v>
      </x:c>
      <x:c r="I519" s="25" t="str">
        <x:v>Office Supplies</x:v>
      </x:c>
      <x:c r="J519" s="25" t="str">
        <x:v>Paper Box</x:v>
      </x:c>
      <x:c r="K519" s="25" t="n">
        <x:v>1</x:v>
      </x:c>
      <x:c r="L519" s="26" t="n">
        <x:v>370</x:v>
      </x:c>
      <x:c r="M519" s="27" t="n">
        <x:v>0.05</x:v>
      </x:c>
      <x:c r="N519" s="26" t="n">
        <x:f>K519*L519</x:f>
        <x:v>370</x:v>
      </x:c>
      <x:c r="O519" s="26" t="n">
        <x:f>N519*(1-M519)</x:f>
        <x:v>351.5</x:v>
      </x:c>
      <x:c r="P519" s="26" t="n">
        <x:v>254</x:v>
      </x:c>
      <x:c r="Q519" s="26" t="n">
        <x:f>K519*P519</x:f>
        <x:v>254</x:v>
      </x:c>
      <x:c r="R519" s="26" t="n">
        <x:f>O519-Q519</x:f>
        <x:v>97.5</x:v>
      </x:c>
      <x:c r="S519" s="28" t="n">
        <x:f>IF(O519=0,0,R519/O519)</x:f>
        <x:v>0.2773826458036984</x:v>
      </x:c>
      <x:c r="T519" s="25" t="str">
        <x:v>Bank Transfer</x:v>
      </x:c>
      <x:c r="U519" s="25" t="str">
        <x:v>Returned</x:v>
      </x:c>
      <x:c r="V519" s="29" t="n">
        <x:v>5</x:v>
      </x:c>
    </x:row>
    <x:row r="520">
      <x:c r="A520" s="23" t="str">
        <x:v>MAN-2025-00519</x:v>
      </x:c>
      <x:c r="B520" s="24" t="n">
        <x:v>45921</x:v>
      </x:c>
      <x:c r="C520" s="25" t="str">
        <x:v>Mansoura</x:v>
      </x:c>
      <x:c r="D520" s="25" t="str">
        <x:v>Mansoura City</x:v>
      </x:c>
      <x:c r="E520" s="25" t="str">
        <x:v>Youssef Fathy</x:v>
      </x:c>
      <x:c r="F520" s="25" t="str">
        <x:v>Mariam Ibrahim</x:v>
      </x:c>
      <x:c r="G520" s="25" t="str">
        <x:v>Small Business</x:v>
      </x:c>
      <x:c r="H520" s="25" t="str">
        <x:v>Retail Store</x:v>
      </x:c>
      <x:c r="I520" s="25" t="str">
        <x:v>Electronics</x:v>
      </x:c>
      <x:c r="J520" s="25" t="str">
        <x:v>Laptop</x:v>
      </x:c>
      <x:c r="K520" s="25" t="n">
        <x:v>5</x:v>
      </x:c>
      <x:c r="L520" s="26" t="n">
        <x:v>25528</x:v>
      </x:c>
      <x:c r="M520" s="27" t="n">
        <x:v>0</x:v>
      </x:c>
      <x:c r="N520" s="26" t="n">
        <x:f>K520*L520</x:f>
        <x:v>127640</x:v>
      </x:c>
      <x:c r="O520" s="26" t="n">
        <x:f>N520*(1-M520)</x:f>
        <x:v>127640</x:v>
      </x:c>
      <x:c r="P520" s="26" t="n">
        <x:v>20509</x:v>
      </x:c>
      <x:c r="Q520" s="26" t="n">
        <x:f>K520*P520</x:f>
        <x:v>102545</x:v>
      </x:c>
      <x:c r="R520" s="26" t="n">
        <x:f>O520-Q520</x:f>
        <x:v>25095</x:v>
      </x:c>
      <x:c r="S520" s="28" t="n">
        <x:f>IF(O520=0,0,R520/O520)</x:f>
        <x:v>0.19660764650579757</x:v>
      </x:c>
      <x:c r="T520" s="25" t="str">
        <x:v>Bank Transfer</x:v>
      </x:c>
      <x:c r="U520" s="25" t="str">
        <x:v>Returned</x:v>
      </x:c>
      <x:c r="V520" s="29" t="n">
        <x:v>4</x:v>
      </x:c>
    </x:row>
    <x:row r="521">
      <x:c r="A521" s="23" t="str">
        <x:v>MAN-2025-00520</x:v>
      </x:c>
      <x:c r="B521" s="24" t="n">
        <x:v>45998</x:v>
      </x:c>
      <x:c r="C521" s="25" t="str">
        <x:v>Mansoura</x:v>
      </x:c>
      <x:c r="D521" s="25" t="str">
        <x:v>Sherbin</x:v>
      </x:c>
      <x:c r="E521" s="25" t="str">
        <x:v>Salma Mansour</x:v>
      </x:c>
      <x:c r="F521" s="25" t="str">
        <x:v>Hana Hassan</x:v>
      </x:c>
      <x:c r="G521" s="25" t="str">
        <x:v>Small Business</x:v>
      </x:c>
      <x:c r="H521" s="25" t="str">
        <x:v>Retail Store</x:v>
      </x:c>
      <x:c r="I521" s="25" t="str">
        <x:v>Furniture</x:v>
      </x:c>
      <x:c r="J521" s="25" t="str">
        <x:v>Sofa</x:v>
      </x:c>
      <x:c r="K521" s="25" t="n">
        <x:v>6</x:v>
      </x:c>
      <x:c r="L521" s="26" t="n">
        <x:v>14096</x:v>
      </x:c>
      <x:c r="M521" s="27" t="n">
        <x:v>0.05</x:v>
      </x:c>
      <x:c r="N521" s="26" t="n">
        <x:f>K521*L521</x:f>
        <x:v>84576</x:v>
      </x:c>
      <x:c r="O521" s="26" t="n">
        <x:f>N521*(1-M521)</x:f>
        <x:v>80347.2</x:v>
      </x:c>
      <x:c r="P521" s="26" t="n">
        <x:v>10620</x:v>
      </x:c>
      <x:c r="Q521" s="26" t="n">
        <x:f>K521*P521</x:f>
        <x:v>63720</x:v>
      </x:c>
      <x:c r="R521" s="26" t="n">
        <x:f>O521-Q521</x:f>
        <x:v>16627.199999999997</x:v>
      </x:c>
      <x:c r="S521" s="28" t="n">
        <x:f>IF(O521=0,0,R521/O521)</x:f>
        <x:v>0.2069418722743294</x:v>
      </x:c>
      <x:c r="T521" s="25" t="str">
        <x:v>Debit Card</x:v>
      </x:c>
      <x:c r="U521" s="25" t="str">
        <x:v>Returned</x:v>
      </x:c>
      <x:c r="V521" s="29" t="n">
        <x:v>4</x:v>
      </x:c>
    </x:row>
    <x:row r="522">
      <x:c r="A522" s="23" t="str">
        <x:v>MAN-2025-00521</x:v>
      </x:c>
      <x:c r="B522" s="24" t="n">
        <x:v>45924</x:v>
      </x:c>
      <x:c r="C522" s="25" t="str">
        <x:v>Mansoura</x:v>
      </x:c>
      <x:c r="D522" s="25" t="str">
        <x:v>Mansoura City</x:v>
      </x:c>
      <x:c r="E522" s="25" t="str">
        <x:v>Aya Farouk</x:v>
      </x:c>
      <x:c r="F522" s="25" t="str">
        <x:v>Amr Fathy</x:v>
      </x:c>
      <x:c r="G522" s="25" t="str">
        <x:v>Corporate</x:v>
      </x:c>
      <x:c r="H522" s="25" t="str">
        <x:v>Retail Store</x:v>
      </x:c>
      <x:c r="I522" s="25" t="str">
        <x:v>Office Supplies</x:v>
      </x:c>
      <x:c r="J522" s="25" t="str">
        <x:v>Printer</x:v>
      </x:c>
      <x:c r="K522" s="25" t="n">
        <x:v>4</x:v>
      </x:c>
      <x:c r="L522" s="26" t="n">
        <x:v>6572</x:v>
      </x:c>
      <x:c r="M522" s="27" t="n">
        <x:v>0.15</x:v>
      </x:c>
      <x:c r="N522" s="26" t="n">
        <x:f>K522*L522</x:f>
        <x:v>26288</x:v>
      </x:c>
      <x:c r="O522" s="26" t="n">
        <x:f>N522*(1-M522)</x:f>
        <x:v>22344.8</x:v>
      </x:c>
      <x:c r="P522" s="26" t="n">
        <x:v>5549</x:v>
      </x:c>
      <x:c r="Q522" s="26" t="n">
        <x:f>K522*P522</x:f>
        <x:v>22196</x:v>
      </x:c>
      <x:c r="R522" s="26" t="n">
        <x:f>O522-Q522</x:f>
        <x:v>148.79999999999927</x:v>
      </x:c>
      <x:c r="S522" s="28" t="n">
        <x:f>IF(O522=0,0,R522/O522)</x:f>
        <x:v>0.006659267480577104</x:v>
      </x:c>
      <x:c r="T522" s="25" t="str">
        <x:v>Credit Card</x:v>
      </x:c>
      <x:c r="U522" s="25" t="str">
        <x:v>Completed</x:v>
      </x:c>
      <x:c r="V522" s="29" t="n">
        <x:v>4</x:v>
      </x:c>
    </x:row>
    <x:row r="523">
      <x:c r="A523" s="23" t="str">
        <x:v>MAN-2025-00522</x:v>
      </x:c>
      <x:c r="B523" s="24" t="n">
        <x:v>45658</x:v>
      </x:c>
      <x:c r="C523" s="25" t="str">
        <x:v>Mansoura</x:v>
      </x:c>
      <x:c r="D523" s="25" t="str">
        <x:v>Talkha</x:v>
      </x:c>
      <x:c r="E523" s="25" t="str">
        <x:v>Salma Mansour</x:v>
      </x:c>
      <x:c r="F523" s="25" t="str">
        <x:v>Karim Mansour</x:v>
      </x:c>
      <x:c r="G523" s="25" t="str">
        <x:v>Small Business</x:v>
      </x:c>
      <x:c r="H523" s="25" t="str">
        <x:v>Phone Order</x:v>
      </x:c>
      <x:c r="I523" s="25" t="str">
        <x:v>Office Supplies</x:v>
      </x:c>
      <x:c r="J523" s="25" t="str">
        <x:v>Ink Cartridge</x:v>
      </x:c>
      <x:c r="K523" s="25" t="n">
        <x:v>6</x:v>
      </x:c>
      <x:c r="L523" s="26" t="n">
        <x:v>814</x:v>
      </x:c>
      <x:c r="M523" s="27" t="n">
        <x:v>0.05</x:v>
      </x:c>
      <x:c r="N523" s="26" t="n">
        <x:f>K523*L523</x:f>
        <x:v>4884</x:v>
      </x:c>
      <x:c r="O523" s="26" t="n">
        <x:f>N523*(1-M523)</x:f>
        <x:v>4639.8</x:v>
      </x:c>
      <x:c r="P523" s="26" t="n">
        <x:v>564</x:v>
      </x:c>
      <x:c r="Q523" s="26" t="n">
        <x:f>K523*P523</x:f>
        <x:v>3384</x:v>
      </x:c>
      <x:c r="R523" s="26" t="n">
        <x:f>O523-Q523</x:f>
        <x:v>1255.8000000000002</x:v>
      </x:c>
      <x:c r="S523" s="28" t="n">
        <x:f>IF(O523=0,0,R523/O523)</x:f>
        <x:v>0.2706582180266391</x:v>
      </x:c>
      <x:c r="T523" s="25" t="str">
        <x:v>Cash</x:v>
      </x:c>
      <x:c r="U523" s="25" t="str">
        <x:v>Completed</x:v>
      </x:c>
      <x:c r="V523" s="29" t="n">
        <x:v>5</x:v>
      </x:c>
    </x:row>
    <x:row r="524">
      <x:c r="A524" s="23" t="str">
        <x:v>MAN-2025-00523</x:v>
      </x:c>
      <x:c r="B524" s="24" t="n">
        <x:v>45898</x:v>
      </x:c>
      <x:c r="C524" s="25" t="str">
        <x:v>Mansoura</x:v>
      </x:c>
      <x:c r="D524" s="25" t="str">
        <x:v>Mit Ghamr</x:v>
      </x:c>
      <x:c r="E524" s="25" t="str">
        <x:v>Youssef Fathy</x:v>
      </x:c>
      <x:c r="F524" s="25" t="str">
        <x:v>Hana Ibrahim</x:v>
      </x:c>
      <x:c r="G524" s="25" t="str">
        <x:v>Corporate</x:v>
      </x:c>
      <x:c r="H524" s="25" t="str">
        <x:v>Phone Order</x:v>
      </x:c>
      <x:c r="I524" s="25" t="str">
        <x:v>Furniture</x:v>
      </x:c>
      <x:c r="J524" s="25" t="str">
        <x:v>Bookshelf</x:v>
      </x:c>
      <x:c r="K524" s="25" t="n">
        <x:v>3</x:v>
      </x:c>
      <x:c r="L524" s="26" t="n">
        <x:v>3157</x:v>
      </x:c>
      <x:c r="M524" s="27" t="n">
        <x:v>0.1</x:v>
      </x:c>
      <x:c r="N524" s="26" t="n">
        <x:f>K524*L524</x:f>
        <x:v>9471</x:v>
      </x:c>
      <x:c r="O524" s="26" t="n">
        <x:f>N524*(1-M524)</x:f>
        <x:v>8523.9</x:v>
      </x:c>
      <x:c r="P524" s="26" t="n">
        <x:v>2175</x:v>
      </x:c>
      <x:c r="Q524" s="26" t="n">
        <x:f>K524*P524</x:f>
        <x:v>6525</x:v>
      </x:c>
      <x:c r="R524" s="26" t="n">
        <x:f>O524-Q524</x:f>
        <x:v>1998.8999999999996</x:v>
      </x:c>
      <x:c r="S524" s="28" t="n">
        <x:f>IF(O524=0,0,R524/O524)</x:f>
        <x:v>0.23450533206630764</x:v>
      </x:c>
      <x:c r="T524" s="25" t="str">
        <x:v>Bank Transfer</x:v>
      </x:c>
      <x:c r="U524" s="25" t="str">
        <x:v>Cancelled</x:v>
      </x:c>
      <x:c r="V524" s="29" t="n">
        <x:v>5</x:v>
      </x:c>
    </x:row>
    <x:row r="525">
      <x:c r="A525" s="23" t="str">
        <x:v>MAN-2025-00524</x:v>
      </x:c>
      <x:c r="B525" s="24" t="n">
        <x:v>45905</x:v>
      </x:c>
      <x:c r="C525" s="25" t="str">
        <x:v>Mansoura</x:v>
      </x:c>
      <x:c r="D525" s="25" t="str">
        <x:v>Aga</x:v>
      </x:c>
      <x:c r="E525" s="25" t="str">
        <x:v>Youssef Fathy</x:v>
      </x:c>
      <x:c r="F525" s="25" t="str">
        <x:v>Hana Tarek</x:v>
      </x:c>
      <x:c r="G525" s="25" t="str">
        <x:v>Consumer</x:v>
      </x:c>
      <x:c r="H525" s="25" t="str">
        <x:v>Website</x:v>
      </x:c>
      <x:c r="I525" s="25" t="str">
        <x:v>Office Supplies</x:v>
      </x:c>
      <x:c r="J525" s="25" t="str">
        <x:v>Paper Box</x:v>
      </x:c>
      <x:c r="K525" s="25" t="n">
        <x:v>3</x:v>
      </x:c>
      <x:c r="L525" s="26" t="n">
        <x:v>396</x:v>
      </x:c>
      <x:c r="M525" s="27" t="n">
        <x:v>0</x:v>
      </x:c>
      <x:c r="N525" s="26" t="n">
        <x:f>K525*L525</x:f>
        <x:v>1188</x:v>
      </x:c>
      <x:c r="O525" s="26" t="n">
        <x:f>N525*(1-M525)</x:f>
        <x:v>1188</x:v>
      </x:c>
      <x:c r="P525" s="26" t="n">
        <x:v>255</x:v>
      </x:c>
      <x:c r="Q525" s="26" t="n">
        <x:f>K525*P525</x:f>
        <x:v>765</x:v>
      </x:c>
      <x:c r="R525" s="26" t="n">
        <x:f>O525-Q525</x:f>
        <x:v>423</x:v>
      </x:c>
      <x:c r="S525" s="28" t="n">
        <x:f>IF(O525=0,0,R525/O525)</x:f>
        <x:v>0.3560606060606061</x:v>
      </x:c>
      <x:c r="T525" s="25" t="str">
        <x:v>Bank Transfer</x:v>
      </x:c>
      <x:c r="U525" s="25" t="str">
        <x:v>Returned</x:v>
      </x:c>
      <x:c r="V525" s="29" t="n">
        <x:v>5</x:v>
      </x:c>
    </x:row>
    <x:row r="526">
      <x:c r="A526" s="23" t="str">
        <x:v>MAN-2025-00525</x:v>
      </x:c>
      <x:c r="B526" s="24" t="n">
        <x:v>45728</x:v>
      </x:c>
      <x:c r="C526" s="25" t="str">
        <x:v>Mansoura</x:v>
      </x:c>
      <x:c r="D526" s="25" t="str">
        <x:v>Talkha</x:v>
      </x:c>
      <x:c r="E526" s="25" t="str">
        <x:v>Aya Farouk</x:v>
      </x:c>
      <x:c r="F526" s="25" t="str">
        <x:v>Farah Sayed</x:v>
      </x:c>
      <x:c r="G526" s="25" t="str">
        <x:v>Consumer</x:v>
      </x:c>
      <x:c r="H526" s="25" t="str">
        <x:v>Mobile App</x:v>
      </x:c>
      <x:c r="I526" s="25" t="str">
        <x:v>Furniture</x:v>
      </x:c>
      <x:c r="J526" s="25" t="str">
        <x:v>Bookshelf</x:v>
      </x:c>
      <x:c r="K526" s="25" t="n">
        <x:v>3</x:v>
      </x:c>
      <x:c r="L526" s="26" t="n">
        <x:v>3202</x:v>
      </x:c>
      <x:c r="M526" s="27" t="n">
        <x:v>0.1</x:v>
      </x:c>
      <x:c r="N526" s="26" t="n">
        <x:f>K526*L526</x:f>
        <x:v>9606</x:v>
      </x:c>
      <x:c r="O526" s="26" t="n">
        <x:f>N526*(1-M526)</x:f>
        <x:v>8645.4</x:v>
      </x:c>
      <x:c r="P526" s="26" t="n">
        <x:v>2140</x:v>
      </x:c>
      <x:c r="Q526" s="26" t="n">
        <x:f>K526*P526</x:f>
        <x:v>6420</x:v>
      </x:c>
      <x:c r="R526" s="26" t="n">
        <x:f>O526-Q526</x:f>
        <x:v>2225.3999999999996</x:v>
      </x:c>
      <x:c r="S526" s="28" t="n">
        <x:f>IF(O526=0,0,R526/O526)</x:f>
        <x:v>0.257408564091887</x:v>
      </x:c>
      <x:c r="T526" s="25" t="str">
        <x:v>Bank Transfer</x:v>
      </x:c>
      <x:c r="U526" s="25" t="str">
        <x:v>Completed</x:v>
      </x:c>
      <x:c r="V526" s="29" t="n">
        <x:v>4</x:v>
      </x:c>
    </x:row>
    <x:row r="527">
      <x:c r="A527" s="23" t="str">
        <x:v>MAN-2025-00526</x:v>
      </x:c>
      <x:c r="B527" s="24" t="n">
        <x:v>45722</x:v>
      </x:c>
      <x:c r="C527" s="25" t="str">
        <x:v>Mansoura</x:v>
      </x:c>
      <x:c r="D527" s="25" t="str">
        <x:v>Aga</x:v>
      </x:c>
      <x:c r="E527" s="25" t="str">
        <x:v>Salma Mansour</x:v>
      </x:c>
      <x:c r="F527" s="25" t="str">
        <x:v>Farah Mansour</x:v>
      </x:c>
      <x:c r="G527" s="25" t="str">
        <x:v>Consumer</x:v>
      </x:c>
      <x:c r="H527" s="25" t="str">
        <x:v>Retail Store</x:v>
      </x:c>
      <x:c r="I527" s="25" t="str">
        <x:v>Office Supplies</x:v>
      </x:c>
      <x:c r="J527" s="25" t="str">
        <x:v>Calculator</x:v>
      </x:c>
      <x:c r="K527" s="25" t="n">
        <x:v>2</x:v>
      </x:c>
      <x:c r="L527" s="26" t="n">
        <x:v>415</x:v>
      </x:c>
      <x:c r="M527" s="27" t="n">
        <x:v>0.15</x:v>
      </x:c>
      <x:c r="N527" s="26" t="n">
        <x:f>K527*L527</x:f>
        <x:v>830</x:v>
      </x:c>
      <x:c r="O527" s="26" t="n">
        <x:f>N527*(1-M527)</x:f>
        <x:v>705.5</x:v>
      </x:c>
      <x:c r="P527" s="26" t="n">
        <x:v>291</x:v>
      </x:c>
      <x:c r="Q527" s="26" t="n">
        <x:f>K527*P527</x:f>
        <x:v>582</x:v>
      </x:c>
      <x:c r="R527" s="26" t="n">
        <x:f>O527-Q527</x:f>
        <x:v>123.5</x:v>
      </x:c>
      <x:c r="S527" s="28" t="n">
        <x:f>IF(O527=0,0,R527/O527)</x:f>
        <x:v>0.17505315379163713</x:v>
      </x:c>
      <x:c r="T527" s="25" t="str">
        <x:v>Cash</x:v>
      </x:c>
      <x:c r="U527" s="25" t="str">
        <x:v>Completed</x:v>
      </x:c>
      <x:c r="V527" s="29" t="n">
        <x:v>5</x:v>
      </x:c>
    </x:row>
    <x:row r="528">
      <x:c r="A528" s="23" t="str">
        <x:v>MAN-2025-00527</x:v>
      </x:c>
      <x:c r="B528" s="24" t="n">
        <x:v>45812</x:v>
      </x:c>
      <x:c r="C528" s="25" t="str">
        <x:v>Mansoura</x:v>
      </x:c>
      <x:c r="D528" s="25" t="str">
        <x:v>Mit Ghamr</x:v>
      </x:c>
      <x:c r="E528" s="25" t="str">
        <x:v>Salma Mansour</x:v>
      </x:c>
      <x:c r="F528" s="25" t="str">
        <x:v>Karim Khalil</x:v>
      </x:c>
      <x:c r="G528" s="25" t="str">
        <x:v>Small Business</x:v>
      </x:c>
      <x:c r="H528" s="25" t="str">
        <x:v>Retail Store</x:v>
      </x:c>
      <x:c r="I528" s="25" t="str">
        <x:v>Home Appliances</x:v>
      </x:c>
      <x:c r="J528" s="25" t="str">
        <x:v>Washing Machine</x:v>
      </x:c>
      <x:c r="K528" s="25" t="n">
        <x:v>6</x:v>
      </x:c>
      <x:c r="L528" s="26" t="n">
        <x:v>16295</x:v>
      </x:c>
      <x:c r="M528" s="27" t="n">
        <x:v>0.1</x:v>
      </x:c>
      <x:c r="N528" s="26" t="n">
        <x:f>K528*L528</x:f>
        <x:v>97770</x:v>
      </x:c>
      <x:c r="O528" s="26" t="n">
        <x:f>N528*(1-M528)</x:f>
        <x:v>87993</x:v>
      </x:c>
      <x:c r="P528" s="26" t="n">
        <x:v>13973</x:v>
      </x:c>
      <x:c r="Q528" s="26" t="n">
        <x:f>K528*P528</x:f>
        <x:v>83838</x:v>
      </x:c>
      <x:c r="R528" s="26" t="n">
        <x:f>O528-Q528</x:f>
        <x:v>4155</x:v>
      </x:c>
      <x:c r="S528" s="28" t="n">
        <x:f>IF(O528=0,0,R528/O528)</x:f>
        <x:v>0.04721966520064096</x:v>
      </x:c>
      <x:c r="T528" s="25" t="str">
        <x:v>Bank Transfer</x:v>
      </x:c>
      <x:c r="U528" s="25" t="str">
        <x:v>Completed</x:v>
      </x:c>
      <x:c r="V528" s="29" t="n">
        <x:v>3</x:v>
      </x:c>
    </x:row>
    <x:row r="529">
      <x:c r="A529" s="23" t="str">
        <x:v>MAN-2025-00528</x:v>
      </x:c>
      <x:c r="B529" s="24" t="n">
        <x:v>45900</x:v>
      </x:c>
      <x:c r="C529" s="25" t="str">
        <x:v>Mansoura</x:v>
      </x:c>
      <x:c r="D529" s="25" t="str">
        <x:v>Mansoura City</x:v>
      </x:c>
      <x:c r="E529" s="25" t="str">
        <x:v>Aya Farouk</x:v>
      </x:c>
      <x:c r="F529" s="25" t="str">
        <x:v>Mahmoud Ibrahim</x:v>
      </x:c>
      <x:c r="G529" s="25" t="str">
        <x:v>Corporate</x:v>
      </x:c>
      <x:c r="H529" s="25" t="str">
        <x:v>Website</x:v>
      </x:c>
      <x:c r="I529" s="25" t="str">
        <x:v>Furniture</x:v>
      </x:c>
      <x:c r="J529" s="25" t="str">
        <x:v>Sofa</x:v>
      </x:c>
      <x:c r="K529" s="25" t="n">
        <x:v>3</x:v>
      </x:c>
      <x:c r="L529" s="26" t="n">
        <x:v>13359</x:v>
      </x:c>
      <x:c r="M529" s="27" t="n">
        <x:v>0.05</x:v>
      </x:c>
      <x:c r="N529" s="26" t="n">
        <x:f>K529*L529</x:f>
        <x:v>40077</x:v>
      </x:c>
      <x:c r="O529" s="26" t="n">
        <x:f>N529*(1-M529)</x:f>
        <x:v>38073.15</x:v>
      </x:c>
      <x:c r="P529" s="26" t="n">
        <x:v>11179</x:v>
      </x:c>
      <x:c r="Q529" s="26" t="n">
        <x:f>K529*P529</x:f>
        <x:v>33537</x:v>
      </x:c>
      <x:c r="R529" s="26" t="n">
        <x:f>O529-Q529</x:f>
        <x:v>4536.1500000000015</x:v>
      </x:c>
      <x:c r="S529" s="28" t="n">
        <x:f>IF(O529=0,0,R529/O529)</x:f>
        <x:v>0.11914301811118863</x:v>
      </x:c>
      <x:c r="T529" s="25" t="str">
        <x:v>Debit Card</x:v>
      </x:c>
      <x:c r="U529" s="25" t="str">
        <x:v>Completed</x:v>
      </x:c>
      <x:c r="V529" s="29" t="n">
        <x:v>3</x:v>
      </x:c>
    </x:row>
    <x:row r="530">
      <x:c r="A530" s="23" t="str">
        <x:v>MAN-2025-00529</x:v>
      </x:c>
      <x:c r="B530" s="24" t="n">
        <x:v>45930</x:v>
      </x:c>
      <x:c r="C530" s="25" t="str">
        <x:v>Mansoura</x:v>
      </x:c>
      <x:c r="D530" s="25" t="str">
        <x:v>Aga</x:v>
      </x:c>
      <x:c r="E530" s="25" t="str">
        <x:v>Aya Farouk</x:v>
      </x:c>
      <x:c r="F530" s="25" t="str">
        <x:v>Mariam Gamal</x:v>
      </x:c>
      <x:c r="G530" s="25" t="str">
        <x:v>Consumer</x:v>
      </x:c>
      <x:c r="H530" s="25" t="str">
        <x:v>Retail Store</x:v>
      </x:c>
      <x:c r="I530" s="25" t="str">
        <x:v>Home Appliances</x:v>
      </x:c>
      <x:c r="J530" s="25" t="str">
        <x:v>Microwave</x:v>
      </x:c>
      <x:c r="K530" s="25" t="n">
        <x:v>3</x:v>
      </x:c>
      <x:c r="L530" s="26" t="n">
        <x:v>5374</x:v>
      </x:c>
      <x:c r="M530" s="27" t="n">
        <x:v>0.1</x:v>
      </x:c>
      <x:c r="N530" s="26" t="n">
        <x:f>K530*L530</x:f>
        <x:v>16122</x:v>
      </x:c>
      <x:c r="O530" s="26" t="n">
        <x:f>N530*(1-M530)</x:f>
        <x:v>14509.800000000001</x:v>
      </x:c>
      <x:c r="P530" s="26" t="n">
        <x:v>4470</x:v>
      </x:c>
      <x:c r="Q530" s="26" t="n">
        <x:f>K530*P530</x:f>
        <x:v>13410</x:v>
      </x:c>
      <x:c r="R530" s="26" t="n">
        <x:f>O530-Q530</x:f>
        <x:v>1099.800000000001</x:v>
      </x:c>
      <x:c r="S530" s="28" t="n">
        <x:f>IF(O530=0,0,R530/O530)</x:f>
        <x:v>0.07579704751271561</x:v>
      </x:c>
      <x:c r="T530" s="25" t="str">
        <x:v>Debit Card</x:v>
      </x:c>
      <x:c r="U530" s="25" t="str">
        <x:v>Completed</x:v>
      </x:c>
      <x:c r="V530" s="29" t="n">
        <x:v>5</x:v>
      </x:c>
    </x:row>
    <x:row r="531">
      <x:c r="A531" s="23" t="str">
        <x:v>MAN-2025-00530</x:v>
      </x:c>
      <x:c r="B531" s="24" t="n">
        <x:v>45887</x:v>
      </x:c>
      <x:c r="C531" s="25" t="str">
        <x:v>Mansoura</x:v>
      </x:c>
      <x:c r="D531" s="25" t="str">
        <x:v>Mit Ghamr</x:v>
      </x:c>
      <x:c r="E531" s="25" t="str">
        <x:v>Salma Mansour</x:v>
      </x:c>
      <x:c r="F531" s="25" t="str">
        <x:v>Karim Adel</x:v>
      </x:c>
      <x:c r="G531" s="25" t="str">
        <x:v>Consumer</x:v>
      </x:c>
      <x:c r="H531" s="25" t="str">
        <x:v>Retail Store</x:v>
      </x:c>
      <x:c r="I531" s="25" t="str">
        <x:v>Office Supplies</x:v>
      </x:c>
      <x:c r="J531" s="25" t="str">
        <x:v>Ink Cartridge</x:v>
      </x:c>
      <x:c r="K531" s="25" t="n">
        <x:v>2</x:v>
      </x:c>
      <x:c r="L531" s="26" t="n">
        <x:v>798</x:v>
      </x:c>
      <x:c r="M531" s="27" t="n">
        <x:v>0.05</x:v>
      </x:c>
      <x:c r="N531" s="26" t="n">
        <x:f>K531*L531</x:f>
        <x:v>1596</x:v>
      </x:c>
      <x:c r="O531" s="26" t="n">
        <x:f>N531*(1-M531)</x:f>
        <x:v>1516.1999999999998</x:v>
      </x:c>
      <x:c r="P531" s="26" t="n">
        <x:v>567</x:v>
      </x:c>
      <x:c r="Q531" s="26" t="n">
        <x:f>K531*P531</x:f>
        <x:v>1134</x:v>
      </x:c>
      <x:c r="R531" s="26" t="n">
        <x:f>O531-Q531</x:f>
        <x:v>382.1999999999998</x:v>
      </x:c>
      <x:c r="S531" s="28" t="n">
        <x:f>IF(O531=0,0,R531/O531)</x:f>
        <x:v>0.25207756232686973</x:v>
      </x:c>
      <x:c r="T531" s="25" t="str">
        <x:v>Bank Transfer</x:v>
      </x:c>
      <x:c r="U531" s="25" t="str">
        <x:v>Returned</x:v>
      </x:c>
      <x:c r="V531" s="29" t="n">
        <x:v>4</x:v>
      </x:c>
    </x:row>
    <x:row r="532">
      <x:c r="A532" s="23" t="str">
        <x:v>MAN-2025-00531</x:v>
      </x:c>
      <x:c r="B532" s="24" t="n">
        <x:v>45778</x:v>
      </x:c>
      <x:c r="C532" s="25" t="str">
        <x:v>Mansoura</x:v>
      </x:c>
      <x:c r="D532" s="25" t="str">
        <x:v>Mit Ghamr</x:v>
      </x:c>
      <x:c r="E532" s="25" t="str">
        <x:v>Aya Farouk</x:v>
      </x:c>
      <x:c r="F532" s="25" t="str">
        <x:v>Aya Fathy</x:v>
      </x:c>
      <x:c r="G532" s="25" t="str">
        <x:v>Consumer</x:v>
      </x:c>
      <x:c r="H532" s="25" t="str">
        <x:v>Retail Store</x:v>
      </x:c>
      <x:c r="I532" s="25" t="str">
        <x:v>Furniture</x:v>
      </x:c>
      <x:c r="J532" s="25" t="str">
        <x:v>Office Chair</x:v>
      </x:c>
      <x:c r="K532" s="25" t="n">
        <x:v>1</x:v>
      </x:c>
      <x:c r="L532" s="26" t="n">
        <x:v>3760</x:v>
      </x:c>
      <x:c r="M532" s="27" t="n">
        <x:v>0.05</x:v>
      </x:c>
      <x:c r="N532" s="26" t="n">
        <x:f>K532*L532</x:f>
        <x:v>3760</x:v>
      </x:c>
      <x:c r="O532" s="26" t="n">
        <x:f>N532*(1-M532)</x:f>
        <x:v>3572</x:v>
      </x:c>
      <x:c r="P532" s="26" t="n">
        <x:v>2775</x:v>
      </x:c>
      <x:c r="Q532" s="26" t="n">
        <x:f>K532*P532</x:f>
        <x:v>2775</x:v>
      </x:c>
      <x:c r="R532" s="26" t="n">
        <x:f>O532-Q532</x:f>
        <x:v>797</x:v>
      </x:c>
      <x:c r="S532" s="28" t="n">
        <x:f>IF(O532=0,0,R532/O532)</x:f>
        <x:v>0.2231243001119821</x:v>
      </x:c>
      <x:c r="T532" s="25" t="str">
        <x:v>Debit Card</x:v>
      </x:c>
      <x:c r="U532" s="25" t="str">
        <x:v>Cancelled</x:v>
      </x:c>
      <x:c r="V532" s="29" t="n">
        <x:v>4</x:v>
      </x:c>
    </x:row>
    <x:row r="533">
      <x:c r="A533" s="23" t="str">
        <x:v>MAN-2025-00532</x:v>
      </x:c>
      <x:c r="B533" s="24" t="n">
        <x:v>45920</x:v>
      </x:c>
      <x:c r="C533" s="25" t="str">
        <x:v>Mansoura</x:v>
      </x:c>
      <x:c r="D533" s="25" t="str">
        <x:v>Talkha</x:v>
      </x:c>
      <x:c r="E533" s="25" t="str">
        <x:v>Aya Farouk</x:v>
      </x:c>
      <x:c r="F533" s="25" t="str">
        <x:v>Mahmoud Fathy</x:v>
      </x:c>
      <x:c r="G533" s="25" t="str">
        <x:v>Corporate</x:v>
      </x:c>
      <x:c r="H533" s="25" t="str">
        <x:v>Retail Store</x:v>
      </x:c>
      <x:c r="I533" s="25" t="str">
        <x:v>Office Supplies</x:v>
      </x:c>
      <x:c r="J533" s="25" t="str">
        <x:v>Calculator</x:v>
      </x:c>
      <x:c r="K533" s="25" t="n">
        <x:v>6</x:v>
      </x:c>
      <x:c r="L533" s="26" t="n">
        <x:v>464</x:v>
      </x:c>
      <x:c r="M533" s="27" t="n">
        <x:v>0</x:v>
      </x:c>
      <x:c r="N533" s="26" t="n">
        <x:f>K533*L533</x:f>
        <x:v>2784</x:v>
      </x:c>
      <x:c r="O533" s="26" t="n">
        <x:f>N533*(1-M533)</x:f>
        <x:v>2784</x:v>
      </x:c>
      <x:c r="P533" s="26" t="n">
        <x:v>280</x:v>
      </x:c>
      <x:c r="Q533" s="26" t="n">
        <x:f>K533*P533</x:f>
        <x:v>1680</x:v>
      </x:c>
      <x:c r="R533" s="26" t="n">
        <x:f>O533-Q533</x:f>
        <x:v>1104</x:v>
      </x:c>
      <x:c r="S533" s="28" t="n">
        <x:f>IF(O533=0,0,R533/O533)</x:f>
        <x:v>0.39655172413793105</x:v>
      </x:c>
      <x:c r="T533" s="25" t="str">
        <x:v>Bank Transfer</x:v>
      </x:c>
      <x:c r="U533" s="25" t="str">
        <x:v>Completed</x:v>
      </x:c>
      <x:c r="V533" s="29" t="n">
        <x:v>3</x:v>
      </x:c>
    </x:row>
    <x:row r="534">
      <x:c r="A534" s="23" t="str">
        <x:v>MAN-2025-00533</x:v>
      </x:c>
      <x:c r="B534" s="24" t="n">
        <x:v>45814</x:v>
      </x:c>
      <x:c r="C534" s="25" t="str">
        <x:v>Mansoura</x:v>
      </x:c>
      <x:c r="D534" s="25" t="str">
        <x:v>Aga</x:v>
      </x:c>
      <x:c r="E534" s="25" t="str">
        <x:v>Youssef Fathy</x:v>
      </x:c>
      <x:c r="F534" s="25" t="str">
        <x:v>Mahmoud Mansour</x:v>
      </x:c>
      <x:c r="G534" s="25" t="str">
        <x:v>Consumer</x:v>
      </x:c>
      <x:c r="H534" s="25" t="str">
        <x:v>Phone Order</x:v>
      </x:c>
      <x:c r="I534" s="25" t="str">
        <x:v>Furniture</x:v>
      </x:c>
      <x:c r="J534" s="25" t="str">
        <x:v>Sofa</x:v>
      </x:c>
      <x:c r="K534" s="25" t="n">
        <x:v>4</x:v>
      </x:c>
      <x:c r="L534" s="26" t="n">
        <x:v>13106</x:v>
      </x:c>
      <x:c r="M534" s="27" t="n">
        <x:v>0.1</x:v>
      </x:c>
      <x:c r="N534" s="26" t="n">
        <x:f>K534*L534</x:f>
        <x:v>52424</x:v>
      </x:c>
      <x:c r="O534" s="26" t="n">
        <x:f>N534*(1-M534)</x:f>
        <x:v>47181.6</x:v>
      </x:c>
      <x:c r="P534" s="26" t="n">
        <x:v>10713</x:v>
      </x:c>
      <x:c r="Q534" s="26" t="n">
        <x:f>K534*P534</x:f>
        <x:v>42852</x:v>
      </x:c>
      <x:c r="R534" s="26" t="n">
        <x:f>O534-Q534</x:f>
        <x:v>4329.5999999999985</x:v>
      </x:c>
      <x:c r="S534" s="28" t="n">
        <x:f>IF(O534=0,0,R534/O534)</x:f>
        <x:v>0.09176458619461822</x:v>
      </x:c>
      <x:c r="T534" s="25" t="str">
        <x:v>Debit Card</x:v>
      </x:c>
      <x:c r="U534" s="25" t="str">
        <x:v>Completed</x:v>
      </x:c>
      <x:c r="V534" s="29" t="n">
        <x:v>5</x:v>
      </x:c>
    </x:row>
    <x:row r="535">
      <x:c r="A535" s="23" t="str">
        <x:v>MAN-2025-00534</x:v>
      </x:c>
      <x:c r="B535" s="24" t="n">
        <x:v>45873</x:v>
      </x:c>
      <x:c r="C535" s="25" t="str">
        <x:v>Mansoura</x:v>
      </x:c>
      <x:c r="D535" s="25" t="str">
        <x:v>Aga</x:v>
      </x:c>
      <x:c r="E535" s="25" t="str">
        <x:v>Ali Sayed</x:v>
      </x:c>
      <x:c r="F535" s="25" t="str">
        <x:v>Mariam Ibrahim</x:v>
      </x:c>
      <x:c r="G535" s="25" t="str">
        <x:v>Small Business</x:v>
      </x:c>
      <x:c r="H535" s="25" t="str">
        <x:v>Retail Store</x:v>
      </x:c>
      <x:c r="I535" s="25" t="str">
        <x:v>Electronics</x:v>
      </x:c>
      <x:c r="J535" s="25" t="str">
        <x:v>Smartphone</x:v>
      </x:c>
      <x:c r="K535" s="25" t="n">
        <x:v>6</x:v>
      </x:c>
      <x:c r="L535" s="26" t="n">
        <x:v>13137</x:v>
      </x:c>
      <x:c r="M535" s="27" t="n">
        <x:v>0.1</x:v>
      </x:c>
      <x:c r="N535" s="26" t="n">
        <x:f>K535*L535</x:f>
        <x:v>78822</x:v>
      </x:c>
      <x:c r="O535" s="26" t="n">
        <x:f>N535*(1-M535)</x:f>
        <x:v>70939.8</x:v>
      </x:c>
      <x:c r="P535" s="26" t="n">
        <x:v>10893</x:v>
      </x:c>
      <x:c r="Q535" s="26" t="n">
        <x:f>K535*P535</x:f>
        <x:v>65358</x:v>
      </x:c>
      <x:c r="R535" s="26" t="n">
        <x:f>O535-Q535</x:f>
        <x:v>5581.800000000003</x:v>
      </x:c>
      <x:c r="S535" s="28" t="n">
        <x:f>IF(O535=0,0,R535/O535)</x:f>
        <x:v>0.07868361624927055</x:v>
      </x:c>
      <x:c r="T535" s="25" t="str">
        <x:v>Digital Wallet</x:v>
      </x:c>
      <x:c r="U535" s="25" t="str">
        <x:v>Completed</x:v>
      </x:c>
      <x:c r="V535" s="29" t="n">
        <x:v>5</x:v>
      </x:c>
    </x:row>
    <x:row r="536">
      <x:c r="A536" s="23" t="str">
        <x:v>MAN-2025-00535</x:v>
      </x:c>
      <x:c r="B536" s="24" t="n">
        <x:v>45904</x:v>
      </x:c>
      <x:c r="C536" s="25" t="str">
        <x:v>Mansoura</x:v>
      </x:c>
      <x:c r="D536" s="25" t="str">
        <x:v>Talkha</x:v>
      </x:c>
      <x:c r="E536" s="25" t="str">
        <x:v>Ali Sayed</x:v>
      </x:c>
      <x:c r="F536" s="25" t="str">
        <x:v>Nour Samir</x:v>
      </x:c>
      <x:c r="G536" s="25" t="str">
        <x:v>Corporate</x:v>
      </x:c>
      <x:c r="H536" s="25" t="str">
        <x:v>Retail Store</x:v>
      </x:c>
      <x:c r="I536" s="25" t="str">
        <x:v>Office Supplies</x:v>
      </x:c>
      <x:c r="J536" s="25" t="str">
        <x:v>Paper Box</x:v>
      </x:c>
      <x:c r="K536" s="25" t="n">
        <x:v>6</x:v>
      </x:c>
      <x:c r="L536" s="26" t="n">
        <x:v>386</x:v>
      </x:c>
      <x:c r="M536" s="27" t="n">
        <x:v>0.1</x:v>
      </x:c>
      <x:c r="N536" s="26" t="n">
        <x:f>K536*L536</x:f>
        <x:v>2316</x:v>
      </x:c>
      <x:c r="O536" s="26" t="n">
        <x:f>N536*(1-M536)</x:f>
        <x:v>2084.4</x:v>
      </x:c>
      <x:c r="P536" s="26" t="n">
        <x:v>265</x:v>
      </x:c>
      <x:c r="Q536" s="26" t="n">
        <x:f>K536*P536</x:f>
        <x:v>1590</x:v>
      </x:c>
      <x:c r="R536" s="26" t="n">
        <x:f>O536-Q536</x:f>
        <x:v>494.4000000000001</x:v>
      </x:c>
      <x:c r="S536" s="28" t="n">
        <x:f>IF(O536=0,0,R536/O536)</x:f>
        <x:v>0.2371905584340818</x:v>
      </x:c>
      <x:c r="T536" s="25" t="str">
        <x:v>Credit Card</x:v>
      </x:c>
      <x:c r="U536" s="25" t="str">
        <x:v>Completed</x:v>
      </x:c>
      <x:c r="V536" s="29" t="n">
        <x:v>5</x:v>
      </x:c>
    </x:row>
    <x:row r="537">
      <x:c r="A537" s="23" t="str">
        <x:v>MAN-2025-00536</x:v>
      </x:c>
      <x:c r="B537" s="24" t="n">
        <x:v>45676</x:v>
      </x:c>
      <x:c r="C537" s="25" t="str">
        <x:v>Mansoura</x:v>
      </x:c>
      <x:c r="D537" s="25" t="str">
        <x:v>Talkha</x:v>
      </x:c>
      <x:c r="E537" s="25" t="str">
        <x:v>Salma Mansour</x:v>
      </x:c>
      <x:c r="F537" s="25" t="str">
        <x:v>Hana Adel</x:v>
      </x:c>
      <x:c r="G537" s="25" t="str">
        <x:v>Small Business</x:v>
      </x:c>
      <x:c r="H537" s="25" t="str">
        <x:v>Phone Order</x:v>
      </x:c>
      <x:c r="I537" s="25" t="str">
        <x:v>Electronics</x:v>
      </x:c>
      <x:c r="J537" s="25" t="str">
        <x:v>Laptop</x:v>
      </x:c>
      <x:c r="K537" s="25" t="n">
        <x:v>3</x:v>
      </x:c>
      <x:c r="L537" s="26" t="n">
        <x:v>23938</x:v>
      </x:c>
      <x:c r="M537" s="27" t="n">
        <x:v>0</x:v>
      </x:c>
      <x:c r="N537" s="26" t="n">
        <x:f>K537*L537</x:f>
        <x:v>71814</x:v>
      </x:c>
      <x:c r="O537" s="26" t="n">
        <x:f>N537*(1-M537)</x:f>
        <x:v>71814</x:v>
      </x:c>
      <x:c r="P537" s="26" t="n">
        <x:v>20572</x:v>
      </x:c>
      <x:c r="Q537" s="26" t="n">
        <x:f>K537*P537</x:f>
        <x:v>61716</x:v>
      </x:c>
      <x:c r="R537" s="26" t="n">
        <x:f>O537-Q537</x:f>
        <x:v>10098</x:v>
      </x:c>
      <x:c r="S537" s="28" t="n">
        <x:f>IF(O537=0,0,R537/O537)</x:f>
        <x:v>0.14061325089815357</x:v>
      </x:c>
      <x:c r="T537" s="25" t="str">
        <x:v>Bank Transfer</x:v>
      </x:c>
      <x:c r="U537" s="25" t="str">
        <x:v>Cancelled</x:v>
      </x:c>
      <x:c r="V537" s="29" t="n">
        <x:v>5</x:v>
      </x:c>
    </x:row>
    <x:row r="538">
      <x:c r="A538" s="23" t="str">
        <x:v>MAN-2025-00537</x:v>
      </x:c>
      <x:c r="B538" s="24" t="n">
        <x:v>45855</x:v>
      </x:c>
      <x:c r="C538" s="25" t="str">
        <x:v>Mansoura</x:v>
      </x:c>
      <x:c r="D538" s="25" t="str">
        <x:v>Talkha</x:v>
      </x:c>
      <x:c r="E538" s="25" t="str">
        <x:v>Youssef Fathy</x:v>
      </x:c>
      <x:c r="F538" s="25" t="str">
        <x:v>Salma Sayed</x:v>
      </x:c>
      <x:c r="G538" s="25" t="str">
        <x:v>Consumer</x:v>
      </x:c>
      <x:c r="H538" s="25" t="str">
        <x:v>Mobile App</x:v>
      </x:c>
      <x:c r="I538" s="25" t="str">
        <x:v>Electronics</x:v>
      </x:c>
      <x:c r="J538" s="25" t="str">
        <x:v>Laptop</x:v>
      </x:c>
      <x:c r="K538" s="25" t="n">
        <x:v>2</x:v>
      </x:c>
      <x:c r="L538" s="26" t="n">
        <x:v>24170</x:v>
      </x:c>
      <x:c r="M538" s="27" t="n">
        <x:v>0.05</x:v>
      </x:c>
      <x:c r="N538" s="26" t="n">
        <x:f>K538*L538</x:f>
        <x:v>48340</x:v>
      </x:c>
      <x:c r="O538" s="26" t="n">
        <x:f>N538*(1-M538)</x:f>
        <x:v>45923</x:v>
      </x:c>
      <x:c r="P538" s="26" t="n">
        <x:v>21350</x:v>
      </x:c>
      <x:c r="Q538" s="26" t="n">
        <x:f>K538*P538</x:f>
        <x:v>42700</x:v>
      </x:c>
      <x:c r="R538" s="26" t="n">
        <x:f>O538-Q538</x:f>
        <x:v>3223</x:v>
      </x:c>
      <x:c r="S538" s="28" t="n">
        <x:f>IF(O538=0,0,R538/O538)</x:f>
        <x:v>0.07018269712344577</x:v>
      </x:c>
      <x:c r="T538" s="25" t="str">
        <x:v>Credit Card</x:v>
      </x:c>
      <x:c r="U538" s="25" t="str">
        <x:v>Completed</x:v>
      </x:c>
      <x:c r="V538" s="29" t="n">
        <x:v>3</x:v>
      </x:c>
    </x:row>
    <x:row r="539">
      <x:c r="A539" s="23" t="str">
        <x:v>MAN-2025-00538</x:v>
      </x:c>
      <x:c r="B539" s="24" t="n">
        <x:v>45800</x:v>
      </x:c>
      <x:c r="C539" s="25" t="str">
        <x:v>Mansoura</x:v>
      </x:c>
      <x:c r="D539" s="25" t="str">
        <x:v>Mansoura City</x:v>
      </x:c>
      <x:c r="E539" s="25" t="str">
        <x:v>Youssef Fathy</x:v>
      </x:c>
      <x:c r="F539" s="25" t="str">
        <x:v>Aya Nasser</x:v>
      </x:c>
      <x:c r="G539" s="25" t="str">
        <x:v>Small Business</x:v>
      </x:c>
      <x:c r="H539" s="25" t="str">
        <x:v>Retail Store</x:v>
      </x:c>
      <x:c r="I539" s="25" t="str">
        <x:v>Furniture</x:v>
      </x:c>
      <x:c r="J539" s="25" t="str">
        <x:v>Desk</x:v>
      </x:c>
      <x:c r="K539" s="25" t="n">
        <x:v>5</x:v>
      </x:c>
      <x:c r="L539" s="26" t="n">
        <x:v>4810</x:v>
      </x:c>
      <x:c r="M539" s="27" t="n">
        <x:v>0.15</x:v>
      </x:c>
      <x:c r="N539" s="26" t="n">
        <x:f>K539*L539</x:f>
        <x:v>24050</x:v>
      </x:c>
      <x:c r="O539" s="26" t="n">
        <x:f>N539*(1-M539)</x:f>
        <x:v>20442.5</x:v>
      </x:c>
      <x:c r="P539" s="26" t="n">
        <x:v>3790</x:v>
      </x:c>
      <x:c r="Q539" s="26" t="n">
        <x:f>K539*P539</x:f>
        <x:v>18950</x:v>
      </x:c>
      <x:c r="R539" s="26" t="n">
        <x:f>O539-Q539</x:f>
        <x:v>1492.5</x:v>
      </x:c>
      <x:c r="S539" s="28" t="n">
        <x:f>IF(O539=0,0,R539/O539)</x:f>
        <x:v>0.07300966124495537</x:v>
      </x:c>
      <x:c r="T539" s="25" t="str">
        <x:v>Credit Card</x:v>
      </x:c>
      <x:c r="U539" s="25" t="str">
        <x:v>Returned</x:v>
      </x:c>
      <x:c r="V539" s="29" t="n">
        <x:v>5</x:v>
      </x:c>
    </x:row>
    <x:row r="540">
      <x:c r="A540" s="23" t="str">
        <x:v>MAN-2025-00539</x:v>
      </x:c>
      <x:c r="B540" s="24" t="n">
        <x:v>45883</x:v>
      </x:c>
      <x:c r="C540" s="25" t="str">
        <x:v>Mansoura</x:v>
      </x:c>
      <x:c r="D540" s="25" t="str">
        <x:v>Mit Ghamr</x:v>
      </x:c>
      <x:c r="E540" s="25" t="str">
        <x:v>Aya Farouk</x:v>
      </x:c>
      <x:c r="F540" s="25" t="str">
        <x:v>Mariam Adel</x:v>
      </x:c>
      <x:c r="G540" s="25" t="str">
        <x:v>Consumer</x:v>
      </x:c>
      <x:c r="H540" s="25" t="str">
        <x:v>Phone Order</x:v>
      </x:c>
      <x:c r="I540" s="25" t="str">
        <x:v>Electronics</x:v>
      </x:c>
      <x:c r="J540" s="25" t="str">
        <x:v>Laptop</x:v>
      </x:c>
      <x:c r="K540" s="25" t="n">
        <x:v>1</x:v>
      </x:c>
      <x:c r="L540" s="26" t="n">
        <x:v>25166</x:v>
      </x:c>
      <x:c r="M540" s="27" t="n">
        <x:v>0.05</x:v>
      </x:c>
      <x:c r="N540" s="26" t="n">
        <x:f>K540*L540</x:f>
        <x:v>25166</x:v>
      </x:c>
      <x:c r="O540" s="26" t="n">
        <x:f>N540*(1-M540)</x:f>
        <x:v>23907.699999999997</x:v>
      </x:c>
      <x:c r="P540" s="26" t="n">
        <x:v>20962</x:v>
      </x:c>
      <x:c r="Q540" s="26" t="n">
        <x:f>K540*P540</x:f>
        <x:v>20962</x:v>
      </x:c>
      <x:c r="R540" s="26" t="n">
        <x:f>O540-Q540</x:f>
        <x:v>2945.699999999997</x:v>
      </x:c>
      <x:c r="S540" s="28" t="n">
        <x:f>IF(O540=0,0,R540/O540)</x:f>
        <x:v>0.12321135031809825</x:v>
      </x:c>
      <x:c r="T540" s="25" t="str">
        <x:v>Credit Card</x:v>
      </x:c>
      <x:c r="U540" s="25" t="str">
        <x:v>Completed</x:v>
      </x:c>
      <x:c r="V540" s="29" t="n">
        <x:v>5</x:v>
      </x:c>
    </x:row>
    <x:row r="541">
      <x:c r="A541" s="23" t="str">
        <x:v>MAN-2025-00540</x:v>
      </x:c>
      <x:c r="B541" s="24" t="n">
        <x:v>45947</x:v>
      </x:c>
      <x:c r="C541" s="25" t="str">
        <x:v>Mansoura</x:v>
      </x:c>
      <x:c r="D541" s="25" t="str">
        <x:v>Aga</x:v>
      </x:c>
      <x:c r="E541" s="25" t="str">
        <x:v>Salma Mansour</x:v>
      </x:c>
      <x:c r="F541" s="25" t="str">
        <x:v>Ali Fathy</x:v>
      </x:c>
      <x:c r="G541" s="25" t="str">
        <x:v>Consumer</x:v>
      </x:c>
      <x:c r="H541" s="25" t="str">
        <x:v>Retail Store</x:v>
      </x:c>
      <x:c r="I541" s="25" t="str">
        <x:v>Electronics</x:v>
      </x:c>
      <x:c r="J541" s="25" t="str">
        <x:v>Tablet</x:v>
      </x:c>
      <x:c r="K541" s="25" t="n">
        <x:v>2</x:v>
      </x:c>
      <x:c r="L541" s="26" t="n">
        <x:v>8832</x:v>
      </x:c>
      <x:c r="M541" s="27" t="n">
        <x:v>0.1</x:v>
      </x:c>
      <x:c r="N541" s="26" t="n">
        <x:f>K541*L541</x:f>
        <x:v>17664</x:v>
      </x:c>
      <x:c r="O541" s="26" t="n">
        <x:f>N541*(1-M541)</x:f>
        <x:v>15897.6</x:v>
      </x:c>
      <x:c r="P541" s="26" t="n">
        <x:v>7570</x:v>
      </x:c>
      <x:c r="Q541" s="26" t="n">
        <x:f>K541*P541</x:f>
        <x:v>15140</x:v>
      </x:c>
      <x:c r="R541" s="26" t="n">
        <x:f>O541-Q541</x:f>
        <x:v>757.6000000000004</x:v>
      </x:c>
      <x:c r="S541" s="28" t="n">
        <x:f>IF(O541=0,0,R541/O541)</x:f>
        <x:v>0.047654991948470234</x:v>
      </x:c>
      <x:c r="T541" s="25" t="str">
        <x:v>Cash</x:v>
      </x:c>
      <x:c r="U541" s="25" t="str">
        <x:v>Completed</x:v>
      </x:c>
      <x:c r="V541" s="29" t="n">
        <x:v>3</x:v>
      </x:c>
    </x:row>
    <x:row r="542">
      <x:c r="A542" s="23" t="str">
        <x:v>MAN-2025-00541</x:v>
      </x:c>
      <x:c r="B542" s="24" t="n">
        <x:v>45740</x:v>
      </x:c>
      <x:c r="C542" s="25" t="str">
        <x:v>Mansoura</x:v>
      </x:c>
      <x:c r="D542" s="25" t="str">
        <x:v>Mansoura City</x:v>
      </x:c>
      <x:c r="E542" s="25" t="str">
        <x:v>Aya Farouk</x:v>
      </x:c>
      <x:c r="F542" s="25" t="str">
        <x:v>Mostafa Ibrahim</x:v>
      </x:c>
      <x:c r="G542" s="25" t="str">
        <x:v>Consumer</x:v>
      </x:c>
      <x:c r="H542" s="25" t="str">
        <x:v>Website</x:v>
      </x:c>
      <x:c r="I542" s="25" t="str">
        <x:v>Electronics</x:v>
      </x:c>
      <x:c r="J542" s="25" t="str">
        <x:v>Laptop</x:v>
      </x:c>
      <x:c r="K542" s="25" t="n">
        <x:v>2</x:v>
      </x:c>
      <x:c r="L542" s="26" t="n">
        <x:v>25443</x:v>
      </x:c>
      <x:c r="M542" s="27" t="n">
        <x:v>0.15</x:v>
      </x:c>
      <x:c r="N542" s="26" t="n">
        <x:f>K542*L542</x:f>
        <x:v>50886</x:v>
      </x:c>
      <x:c r="O542" s="26" t="n">
        <x:f>N542*(1-M542)</x:f>
        <x:v>43253.1</x:v>
      </x:c>
      <x:c r="P542" s="26" t="n">
        <x:v>21458</x:v>
      </x:c>
      <x:c r="Q542" s="26" t="n">
        <x:f>K542*P542</x:f>
        <x:v>42916</x:v>
      </x:c>
      <x:c r="R542" s="26" t="n">
        <x:f>O542-Q542</x:f>
        <x:v>337.09999999999854</x:v>
      </x:c>
      <x:c r="S542" s="28" t="n">
        <x:f>IF(O542=0,0,R542/O542)</x:f>
        <x:v>0.007793661032388397</x:v>
      </x:c>
      <x:c r="T542" s="25" t="str">
        <x:v>Credit Card</x:v>
      </x:c>
      <x:c r="U542" s="25" t="str">
        <x:v>Completed</x:v>
      </x:c>
      <x:c r="V542" s="29" t="n">
        <x:v>4</x:v>
      </x:c>
    </x:row>
    <x:row r="543">
      <x:c r="A543" s="23" t="str">
        <x:v>MAN-2025-00542</x:v>
      </x:c>
      <x:c r="B543" s="24" t="n">
        <x:v>45798</x:v>
      </x:c>
      <x:c r="C543" s="25" t="str">
        <x:v>Mansoura</x:v>
      </x:c>
      <x:c r="D543" s="25" t="str">
        <x:v>Mit Ghamr</x:v>
      </x:c>
      <x:c r="E543" s="25" t="str">
        <x:v>Aya Farouk</x:v>
      </x:c>
      <x:c r="F543" s="25" t="str">
        <x:v>Sara Gamal</x:v>
      </x:c>
      <x:c r="G543" s="25" t="str">
        <x:v>Small Business</x:v>
      </x:c>
      <x:c r="H543" s="25" t="str">
        <x:v>Phone Order</x:v>
      </x:c>
      <x:c r="I543" s="25" t="str">
        <x:v>Home Appliances</x:v>
      </x:c>
      <x:c r="J543" s="25" t="str">
        <x:v>Blender</x:v>
      </x:c>
      <x:c r="K543" s="25" t="n">
        <x:v>2</x:v>
      </x:c>
      <x:c r="L543" s="26" t="n">
        <x:v>1713</x:v>
      </x:c>
      <x:c r="M543" s="27" t="n">
        <x:v>0</x:v>
      </x:c>
      <x:c r="N543" s="26" t="n">
        <x:f>K543*L543</x:f>
        <x:v>3426</x:v>
      </x:c>
      <x:c r="O543" s="26" t="n">
        <x:f>N543*(1-M543)</x:f>
        <x:v>3426</x:v>
      </x:c>
      <x:c r="P543" s="26" t="n">
        <x:v>1291</x:v>
      </x:c>
      <x:c r="Q543" s="26" t="n">
        <x:f>K543*P543</x:f>
        <x:v>2582</x:v>
      </x:c>
      <x:c r="R543" s="26" t="n">
        <x:f>O543-Q543</x:f>
        <x:v>844</x:v>
      </x:c>
      <x:c r="S543" s="28" t="n">
        <x:f>IF(O543=0,0,R543/O543)</x:f>
        <x:v>0.24635143023934616</x:v>
      </x:c>
      <x:c r="T543" s="25" t="str">
        <x:v>Credit Card</x:v>
      </x:c>
      <x:c r="U543" s="25" t="str">
        <x:v>Cancelled</x:v>
      </x:c>
      <x:c r="V543" s="29" t="n">
        <x:v>5</x:v>
      </x:c>
    </x:row>
    <x:row r="544">
      <x:c r="A544" s="23" t="str">
        <x:v>MAN-2025-00543</x:v>
      </x:c>
      <x:c r="B544" s="24" t="n">
        <x:v>45753</x:v>
      </x:c>
      <x:c r="C544" s="25" t="str">
        <x:v>Mansoura</x:v>
      </x:c>
      <x:c r="D544" s="25" t="str">
        <x:v>Sherbin</x:v>
      </x:c>
      <x:c r="E544" s="25" t="str">
        <x:v>Ali Sayed</x:v>
      </x:c>
      <x:c r="F544" s="25" t="str">
        <x:v>Youssef Samir</x:v>
      </x:c>
      <x:c r="G544" s="25" t="str">
        <x:v>Consumer</x:v>
      </x:c>
      <x:c r="H544" s="25" t="str">
        <x:v>Phone Order</x:v>
      </x:c>
      <x:c r="I544" s="25" t="str">
        <x:v>Furniture</x:v>
      </x:c>
      <x:c r="J544" s="25" t="str">
        <x:v>Office Chair</x:v>
      </x:c>
      <x:c r="K544" s="25" t="n">
        <x:v>3</x:v>
      </x:c>
      <x:c r="L544" s="26" t="n">
        <x:v>3683</x:v>
      </x:c>
      <x:c r="M544" s="27" t="n">
        <x:v>0</x:v>
      </x:c>
      <x:c r="N544" s="26" t="n">
        <x:f>K544*L544</x:f>
        <x:v>11049</x:v>
      </x:c>
      <x:c r="O544" s="26" t="n">
        <x:f>N544*(1-M544)</x:f>
        <x:v>11049</x:v>
      </x:c>
      <x:c r="P544" s="26" t="n">
        <x:v>2919</x:v>
      </x:c>
      <x:c r="Q544" s="26" t="n">
        <x:f>K544*P544</x:f>
        <x:v>8757</x:v>
      </x:c>
      <x:c r="R544" s="26" t="n">
        <x:f>O544-Q544</x:f>
        <x:v>2292</x:v>
      </x:c>
      <x:c r="S544" s="28" t="n">
        <x:f>IF(O544=0,0,R544/O544)</x:f>
        <x:v>0.2074395872929677</x:v>
      </x:c>
      <x:c r="T544" s="25" t="str">
        <x:v>Digital Wallet</x:v>
      </x:c>
      <x:c r="U544" s="25" t="str">
        <x:v>Completed</x:v>
      </x:c>
      <x:c r="V544" s="29" t="n">
        <x:v>4</x:v>
      </x:c>
    </x:row>
    <x:row r="545">
      <x:c r="A545" s="23" t="str">
        <x:v>MAN-2025-00544</x:v>
      </x:c>
      <x:c r="B545" s="24" t="n">
        <x:v>45693</x:v>
      </x:c>
      <x:c r="C545" s="25" t="str">
        <x:v>Mansoura</x:v>
      </x:c>
      <x:c r="D545" s="25" t="str">
        <x:v>Aga</x:v>
      </x:c>
      <x:c r="E545" s="25" t="str">
        <x:v>Aya Farouk</x:v>
      </x:c>
      <x:c r="F545" s="25" t="str">
        <x:v>Ali Adel</x:v>
      </x:c>
      <x:c r="G545" s="25" t="str">
        <x:v>Consumer</x:v>
      </x:c>
      <x:c r="H545" s="25" t="str">
        <x:v>Phone Order</x:v>
      </x:c>
      <x:c r="I545" s="25" t="str">
        <x:v>Office Supplies</x:v>
      </x:c>
      <x:c r="J545" s="25" t="str">
        <x:v>Calculator</x:v>
      </x:c>
      <x:c r="K545" s="25" t="n">
        <x:v>1</x:v>
      </x:c>
      <x:c r="L545" s="26" t="n">
        <x:v>461</x:v>
      </x:c>
      <x:c r="M545" s="27" t="n">
        <x:v>0.15</x:v>
      </x:c>
      <x:c r="N545" s="26" t="n">
        <x:f>K545*L545</x:f>
        <x:v>461</x:v>
      </x:c>
      <x:c r="O545" s="26" t="n">
        <x:f>N545*(1-M545)</x:f>
        <x:v>391.84999999999997</x:v>
      </x:c>
      <x:c r="P545" s="26" t="n">
        <x:v>292</x:v>
      </x:c>
      <x:c r="Q545" s="26" t="n">
        <x:f>K545*P545</x:f>
        <x:v>292</x:v>
      </x:c>
      <x:c r="R545" s="26" t="n">
        <x:f>O545-Q545</x:f>
        <x:v>99.84999999999997</x:v>
      </x:c>
      <x:c r="S545" s="28" t="n">
        <x:f>IF(O545=0,0,R545/O545)</x:f>
        <x:v>0.25481689421972686</x:v>
      </x:c>
      <x:c r="T545" s="25" t="str">
        <x:v>Cash</x:v>
      </x:c>
      <x:c r="U545" s="25" t="str">
        <x:v>Cancelled</x:v>
      </x:c>
      <x:c r="V545" s="29" t="n">
        <x:v>4</x:v>
      </x:c>
    </x:row>
    <x:row r="546">
      <x:c r="A546" s="23" t="str">
        <x:v>MAN-2025-00545</x:v>
      </x:c>
      <x:c r="B546" s="24" t="n">
        <x:v>45688</x:v>
      </x:c>
      <x:c r="C546" s="25" t="str">
        <x:v>Mansoura</x:v>
      </x:c>
      <x:c r="D546" s="25" t="str">
        <x:v>Talkha</x:v>
      </x:c>
      <x:c r="E546" s="25" t="str">
        <x:v>Aya Farouk</x:v>
      </x:c>
      <x:c r="F546" s="25" t="str">
        <x:v>Sara Gamal</x:v>
      </x:c>
      <x:c r="G546" s="25" t="str">
        <x:v>Small Business</x:v>
      </x:c>
      <x:c r="H546" s="25" t="str">
        <x:v>Retail Store</x:v>
      </x:c>
      <x:c r="I546" s="25" t="str">
        <x:v>Home Appliances</x:v>
      </x:c>
      <x:c r="J546" s="25" t="str">
        <x:v>Washing Machine</x:v>
      </x:c>
      <x:c r="K546" s="25" t="n">
        <x:v>1</x:v>
      </x:c>
      <x:c r="L546" s="26" t="n">
        <x:v>15947</x:v>
      </x:c>
      <x:c r="M546" s="27" t="n">
        <x:v>0.1</x:v>
      </x:c>
      <x:c r="N546" s="26" t="n">
        <x:f>K546*L546</x:f>
        <x:v>15947</x:v>
      </x:c>
      <x:c r="O546" s="26" t="n">
        <x:f>N546*(1-M546)</x:f>
        <x:v>14352.300000000001</x:v>
      </x:c>
      <x:c r="P546" s="26" t="n">
        <x:v>13941</x:v>
      </x:c>
      <x:c r="Q546" s="26" t="n">
        <x:f>K546*P546</x:f>
        <x:v>13941</x:v>
      </x:c>
      <x:c r="R546" s="26" t="n">
        <x:f>O546-Q546</x:f>
        <x:v>411.3000000000011</x:v>
      </x:c>
      <x:c r="S546" s="28" t="n">
        <x:f>IF(O546=0,0,R546/O546)</x:f>
        <x:v>0.028657427729353556</x:v>
      </x:c>
      <x:c r="T546" s="25" t="str">
        <x:v>Digital Wallet</x:v>
      </x:c>
      <x:c r="U546" s="25" t="str">
        <x:v>Completed</x:v>
      </x:c>
      <x:c r="V546" s="29" t="n">
        <x:v>3</x:v>
      </x:c>
    </x:row>
    <x:row r="547">
      <x:c r="A547" s="23" t="str">
        <x:v>MAN-2025-00546</x:v>
      </x:c>
      <x:c r="B547" s="24" t="n">
        <x:v>45795</x:v>
      </x:c>
      <x:c r="C547" s="25" t="str">
        <x:v>Mansoura</x:v>
      </x:c>
      <x:c r="D547" s="25" t="str">
        <x:v>Mansoura City</x:v>
      </x:c>
      <x:c r="E547" s="25" t="str">
        <x:v>Salma Mansour</x:v>
      </x:c>
      <x:c r="F547" s="25" t="str">
        <x:v>Mostafa Samir</x:v>
      </x:c>
      <x:c r="G547" s="25" t="str">
        <x:v>Consumer</x:v>
      </x:c>
      <x:c r="H547" s="25" t="str">
        <x:v>Mobile App</x:v>
      </x:c>
      <x:c r="I547" s="25" t="str">
        <x:v>Electronics</x:v>
      </x:c>
      <x:c r="J547" s="25" t="str">
        <x:v>Laptop</x:v>
      </x:c>
      <x:c r="K547" s="25" t="n">
        <x:v>3</x:v>
      </x:c>
      <x:c r="L547" s="26" t="n">
        <x:v>24242</x:v>
      </x:c>
      <x:c r="M547" s="27" t="n">
        <x:v>0.15</x:v>
      </x:c>
      <x:c r="N547" s="26" t="n">
        <x:f>K547*L547</x:f>
        <x:v>72726</x:v>
      </x:c>
      <x:c r="O547" s="26" t="n">
        <x:f>N547*(1-M547)</x:f>
        <x:v>61817.1</x:v>
      </x:c>
      <x:c r="P547" s="26" t="n">
        <x:v>21716</x:v>
      </x:c>
      <x:c r="Q547" s="26" t="n">
        <x:f>K547*P547</x:f>
        <x:v>65148</x:v>
      </x:c>
      <x:c r="R547" s="26" t="n">
        <x:f>O547-Q547</x:f>
        <x:v>-3330.9000000000015</x:v>
      </x:c>
      <x:c r="S547" s="28" t="n">
        <x:f>IF(O547=0,0,R547/O547)</x:f>
        <x:v>-0.05388314883745762</x:v>
      </x:c>
      <x:c r="T547" s="25" t="str">
        <x:v>Credit Card</x:v>
      </x:c>
      <x:c r="U547" s="25" t="str">
        <x:v>Completed</x:v>
      </x:c>
      <x:c r="V547" s="29" t="n">
        <x:v>4</x:v>
      </x:c>
    </x:row>
    <x:row r="548">
      <x:c r="A548" s="23" t="str">
        <x:v>MAN-2025-00547</x:v>
      </x:c>
      <x:c r="B548" s="24" t="n">
        <x:v>45968</x:v>
      </x:c>
      <x:c r="C548" s="25" t="str">
        <x:v>Mansoura</x:v>
      </x:c>
      <x:c r="D548" s="25" t="str">
        <x:v>Aga</x:v>
      </x:c>
      <x:c r="E548" s="25" t="str">
        <x:v>Salma Mansour</x:v>
      </x:c>
      <x:c r="F548" s="25" t="str">
        <x:v>Nour Ibrahim</x:v>
      </x:c>
      <x:c r="G548" s="25" t="str">
        <x:v>Small Business</x:v>
      </x:c>
      <x:c r="H548" s="25" t="str">
        <x:v>Retail Store</x:v>
      </x:c>
      <x:c r="I548" s="25" t="str">
        <x:v>Electronics</x:v>
      </x:c>
      <x:c r="J548" s="25" t="str">
        <x:v>Tablet</x:v>
      </x:c>
      <x:c r="K548" s="25" t="n">
        <x:v>2</x:v>
      </x:c>
      <x:c r="L548" s="26" t="n">
        <x:v>9209</x:v>
      </x:c>
      <x:c r="M548" s="27" t="n">
        <x:v>0.05</x:v>
      </x:c>
      <x:c r="N548" s="26" t="n">
        <x:f>K548*L548</x:f>
        <x:v>18418</x:v>
      </x:c>
      <x:c r="O548" s="26" t="n">
        <x:f>N548*(1-M548)</x:f>
        <x:v>17497.1</x:v>
      </x:c>
      <x:c r="P548" s="26" t="n">
        <x:v>7125</x:v>
      </x:c>
      <x:c r="Q548" s="26" t="n">
        <x:f>K548*P548</x:f>
        <x:v>14250</x:v>
      </x:c>
      <x:c r="R548" s="26" t="n">
        <x:f>O548-Q548</x:f>
        <x:v>3247.0999999999985</x:v>
      </x:c>
      <x:c r="S548" s="28" t="n">
        <x:f>IF(O548=0,0,R548/O548)</x:f>
        <x:v>0.18557932457378645</x:v>
      </x:c>
      <x:c r="T548" s="25" t="str">
        <x:v>Debit Card</x:v>
      </x:c>
      <x:c r="U548" s="25" t="str">
        <x:v>Returned</x:v>
      </x:c>
      <x:c r="V548" s="29" t="n">
        <x:v>4</x:v>
      </x:c>
    </x:row>
    <x:row r="549">
      <x:c r="A549" s="23" t="str">
        <x:v>MAN-2025-00548</x:v>
      </x:c>
      <x:c r="B549" s="24" t="n">
        <x:v>45761</x:v>
      </x:c>
      <x:c r="C549" s="25" t="str">
        <x:v>Mansoura</x:v>
      </x:c>
      <x:c r="D549" s="25" t="str">
        <x:v>Talkha</x:v>
      </x:c>
      <x:c r="E549" s="25" t="str">
        <x:v>Ali Sayed</x:v>
      </x:c>
      <x:c r="F549" s="25" t="str">
        <x:v>Hana Fathy</x:v>
      </x:c>
      <x:c r="G549" s="25" t="str">
        <x:v>Small Business</x:v>
      </x:c>
      <x:c r="H549" s="25" t="str">
        <x:v>Website</x:v>
      </x:c>
      <x:c r="I549" s="25" t="str">
        <x:v>Office Supplies</x:v>
      </x:c>
      <x:c r="J549" s="25" t="str">
        <x:v>Printer</x:v>
      </x:c>
      <x:c r="K549" s="25" t="n">
        <x:v>6</x:v>
      </x:c>
      <x:c r="L549" s="26" t="n">
        <x:v>6873</x:v>
      </x:c>
      <x:c r="M549" s="27" t="n">
        <x:v>0.1</x:v>
      </x:c>
      <x:c r="N549" s="26" t="n">
        <x:f>K549*L549</x:f>
        <x:v>41238</x:v>
      </x:c>
      <x:c r="O549" s="26" t="n">
        <x:f>N549*(1-M549)</x:f>
        <x:v>37114.200000000004</x:v>
      </x:c>
      <x:c r="P549" s="26" t="n">
        <x:v>5454</x:v>
      </x:c>
      <x:c r="Q549" s="26" t="n">
        <x:f>K549*P549</x:f>
        <x:v>32724</x:v>
      </x:c>
      <x:c r="R549" s="26" t="n">
        <x:f>O549-Q549</x:f>
        <x:v>4390.200000000004</x:v>
      </x:c>
      <x:c r="S549" s="28" t="n">
        <x:f>IF(O549=0,0,R549/O549)</x:f>
        <x:v>0.11828895678742918</x:v>
      </x:c>
      <x:c r="T549" s="25" t="str">
        <x:v>Cash</x:v>
      </x:c>
      <x:c r="U549" s="25" t="str">
        <x:v>Completed</x:v>
      </x:c>
      <x:c r="V549" s="29" t="n">
        <x:v>4</x:v>
      </x:c>
    </x:row>
    <x:row r="550">
      <x:c r="A550" s="23" t="str">
        <x:v>MAN-2025-00549</x:v>
      </x:c>
      <x:c r="B550" s="24" t="n">
        <x:v>45958</x:v>
      </x:c>
      <x:c r="C550" s="25" t="str">
        <x:v>Mansoura</x:v>
      </x:c>
      <x:c r="D550" s="25" t="str">
        <x:v>Mansoura City</x:v>
      </x:c>
      <x:c r="E550" s="25" t="str">
        <x:v>Ali Sayed</x:v>
      </x:c>
      <x:c r="F550" s="25" t="str">
        <x:v>Ali Khalil</x:v>
      </x:c>
      <x:c r="G550" s="25" t="str">
        <x:v>Small Business</x:v>
      </x:c>
      <x:c r="H550" s="25" t="str">
        <x:v>Phone Order</x:v>
      </x:c>
      <x:c r="I550" s="25" t="str">
        <x:v>Office Supplies</x:v>
      </x:c>
      <x:c r="J550" s="25" t="str">
        <x:v>Ink Cartridge</x:v>
      </x:c>
      <x:c r="K550" s="25" t="n">
        <x:v>6</x:v>
      </x:c>
      <x:c r="L550" s="26" t="n">
        <x:v>822</x:v>
      </x:c>
      <x:c r="M550" s="27" t="n">
        <x:v>0.1</x:v>
      </x:c>
      <x:c r="N550" s="26" t="n">
        <x:f>K550*L550</x:f>
        <x:v>4932</x:v>
      </x:c>
      <x:c r="O550" s="26" t="n">
        <x:f>N550*(1-M550)</x:f>
        <x:v>4438.8</x:v>
      </x:c>
      <x:c r="P550" s="26" t="n">
        <x:v>567</x:v>
      </x:c>
      <x:c r="Q550" s="26" t="n">
        <x:f>K550*P550</x:f>
        <x:v>3402</x:v>
      </x:c>
      <x:c r="R550" s="26" t="n">
        <x:f>O550-Q550</x:f>
        <x:v>1036.8000000000002</x:v>
      </x:c>
      <x:c r="S550" s="28" t="n">
        <x:f>IF(O550=0,0,R550/O550)</x:f>
        <x:v>0.23357664233576644</x:v>
      </x:c>
      <x:c r="T550" s="25" t="str">
        <x:v>Cash</x:v>
      </x:c>
      <x:c r="U550" s="25" t="str">
        <x:v>Completed</x:v>
      </x:c>
      <x:c r="V550" s="29" t="n">
        <x:v>5</x:v>
      </x:c>
    </x:row>
    <x:row r="551">
      <x:c r="A551" s="23" t="str">
        <x:v>MAN-2025-00550</x:v>
      </x:c>
      <x:c r="B551" s="24" t="n">
        <x:v>45955</x:v>
      </x:c>
      <x:c r="C551" s="25" t="str">
        <x:v>Mansoura</x:v>
      </x:c>
      <x:c r="D551" s="25" t="str">
        <x:v>Talkha</x:v>
      </x:c>
      <x:c r="E551" s="25" t="str">
        <x:v>Aya Farouk</x:v>
      </x:c>
      <x:c r="F551" s="25" t="str">
        <x:v>Karim Tarek</x:v>
      </x:c>
      <x:c r="G551" s="25" t="str">
        <x:v>Consumer</x:v>
      </x:c>
      <x:c r="H551" s="25" t="str">
        <x:v>Phone Order</x:v>
      </x:c>
      <x:c r="I551" s="25" t="str">
        <x:v>Office Supplies</x:v>
      </x:c>
      <x:c r="J551" s="25" t="str">
        <x:v>Printer</x:v>
      </x:c>
      <x:c r="K551" s="25" t="n">
        <x:v>3</x:v>
      </x:c>
      <x:c r="L551" s="26" t="n">
        <x:v>6861</x:v>
      </x:c>
      <x:c r="M551" s="27" t="n">
        <x:v>0</x:v>
      </x:c>
      <x:c r="N551" s="26" t="n">
        <x:f>K551*L551</x:f>
        <x:v>20583</x:v>
      </x:c>
      <x:c r="O551" s="26" t="n">
        <x:f>N551*(1-M551)</x:f>
        <x:v>20583</x:v>
      </x:c>
      <x:c r="P551" s="26" t="n">
        <x:v>5206</x:v>
      </x:c>
      <x:c r="Q551" s="26" t="n">
        <x:f>K551*P551</x:f>
        <x:v>15618</x:v>
      </x:c>
      <x:c r="R551" s="26" t="n">
        <x:f>O551-Q551</x:f>
        <x:v>4965</x:v>
      </x:c>
      <x:c r="S551" s="28" t="n">
        <x:f>IF(O551=0,0,R551/O551)</x:f>
        <x:v>0.24121848127095175</x:v>
      </x:c>
      <x:c r="T551" s="25" t="str">
        <x:v>Cash</x:v>
      </x:c>
      <x:c r="U551" s="25" t="str">
        <x:v>Returned</x:v>
      </x:c>
      <x:c r="V551" s="29" t="n">
        <x:v>4</x:v>
      </x:c>
    </x:row>
    <x:row r="552">
      <x:c r="A552" s="23" t="str">
        <x:v>MAN-2025-00551</x:v>
      </x:c>
      <x:c r="B552" s="24" t="n">
        <x:v>45760</x:v>
      </x:c>
      <x:c r="C552" s="25" t="str">
        <x:v>Mansoura</x:v>
      </x:c>
      <x:c r="D552" s="25" t="str">
        <x:v>Mit Ghamr</x:v>
      </x:c>
      <x:c r="E552" s="25" t="str">
        <x:v>Youssef Fathy</x:v>
      </x:c>
      <x:c r="F552" s="25" t="str">
        <x:v>Karim Adel</x:v>
      </x:c>
      <x:c r="G552" s="25" t="str">
        <x:v>Consumer</x:v>
      </x:c>
      <x:c r="H552" s="25" t="str">
        <x:v>Retail Store</x:v>
      </x:c>
      <x:c r="I552" s="25" t="str">
        <x:v>Office Supplies</x:v>
      </x:c>
      <x:c r="J552" s="25" t="str">
        <x:v>Ink Cartridge</x:v>
      </x:c>
      <x:c r="K552" s="25" t="n">
        <x:v>6</x:v>
      </x:c>
      <x:c r="L552" s="26" t="n">
        <x:v>873</x:v>
      </x:c>
      <x:c r="M552" s="27" t="n">
        <x:v>0.1</x:v>
      </x:c>
      <x:c r="N552" s="26" t="n">
        <x:f>K552*L552</x:f>
        <x:v>5238</x:v>
      </x:c>
      <x:c r="O552" s="26" t="n">
        <x:f>N552*(1-M552)</x:f>
        <x:v>4714.2</x:v>
      </x:c>
      <x:c r="P552" s="26" t="n">
        <x:v>578</x:v>
      </x:c>
      <x:c r="Q552" s="26" t="n">
        <x:f>K552*P552</x:f>
        <x:v>3468</x:v>
      </x:c>
      <x:c r="R552" s="26" t="n">
        <x:f>O552-Q552</x:f>
        <x:v>1246.1999999999998</x:v>
      </x:c>
      <x:c r="S552" s="28" t="n">
        <x:f>IF(O552=0,0,R552/O552)</x:f>
        <x:v>0.2643502609138348</x:v>
      </x:c>
      <x:c r="T552" s="25" t="str">
        <x:v>Cash</x:v>
      </x:c>
      <x:c r="U552" s="25" t="str">
        <x:v>Completed</x:v>
      </x:c>
      <x:c r="V552" s="29" t="n">
        <x:v>5</x:v>
      </x:c>
    </x:row>
    <x:row r="553">
      <x:c r="A553" s="23" t="str">
        <x:v>MAN-2025-00552</x:v>
      </x:c>
      <x:c r="B553" s="24" t="n">
        <x:v>45658</x:v>
      </x:c>
      <x:c r="C553" s="25" t="str">
        <x:v>Mansoura</x:v>
      </x:c>
      <x:c r="D553" s="25" t="str">
        <x:v>Aga</x:v>
      </x:c>
      <x:c r="E553" s="25" t="str">
        <x:v>Aya Farouk</x:v>
      </x:c>
      <x:c r="F553" s="25" t="str">
        <x:v>Aya Nasser</x:v>
      </x:c>
      <x:c r="G553" s="25" t="str">
        <x:v>Consumer</x:v>
      </x:c>
      <x:c r="H553" s="25" t="str">
        <x:v>Retail Store</x:v>
      </x:c>
      <x:c r="I553" s="25" t="str">
        <x:v>Furniture</x:v>
      </x:c>
      <x:c r="J553" s="25" t="str">
        <x:v>Bookshelf</x:v>
      </x:c>
      <x:c r="K553" s="25" t="n">
        <x:v>3</x:v>
      </x:c>
      <x:c r="L553" s="26" t="n">
        <x:v>3143</x:v>
      </x:c>
      <x:c r="M553" s="27" t="n">
        <x:v>0</x:v>
      </x:c>
      <x:c r="N553" s="26" t="n">
        <x:f>K553*L553</x:f>
        <x:v>9429</x:v>
      </x:c>
      <x:c r="O553" s="26" t="n">
        <x:f>N553*(1-M553)</x:f>
        <x:v>9429</x:v>
      </x:c>
      <x:c r="P553" s="26" t="n">
        <x:v>2174</x:v>
      </x:c>
      <x:c r="Q553" s="26" t="n">
        <x:f>K553*P553</x:f>
        <x:v>6522</x:v>
      </x:c>
      <x:c r="R553" s="26" t="n">
        <x:f>O553-Q553</x:f>
        <x:v>2907</x:v>
      </x:c>
      <x:c r="S553" s="28" t="n">
        <x:f>IF(O553=0,0,R553/O553)</x:f>
        <x:v>0.308304167992364</x:v>
      </x:c>
      <x:c r="T553" s="25" t="str">
        <x:v>Cash</x:v>
      </x:c>
      <x:c r="U553" s="25" t="str">
        <x:v>Completed</x:v>
      </x:c>
      <x:c r="V553" s="29" t="n">
        <x:v>5</x:v>
      </x:c>
    </x:row>
    <x:row r="554">
      <x:c r="A554" s="23" t="str">
        <x:v>MAN-2025-00553</x:v>
      </x:c>
      <x:c r="B554" s="24" t="n">
        <x:v>45759</x:v>
      </x:c>
      <x:c r="C554" s="25" t="str">
        <x:v>Mansoura</x:v>
      </x:c>
      <x:c r="D554" s="25" t="str">
        <x:v>Mit Ghamr</x:v>
      </x:c>
      <x:c r="E554" s="25" t="str">
        <x:v>Aya Farouk</x:v>
      </x:c>
      <x:c r="F554" s="25" t="str">
        <x:v>Hana Hassan</x:v>
      </x:c>
      <x:c r="G554" s="25" t="str">
        <x:v>Corporate</x:v>
      </x:c>
      <x:c r="H554" s="25" t="str">
        <x:v>Retail Store</x:v>
      </x:c>
      <x:c r="I554" s="25" t="str">
        <x:v>Office Supplies</x:v>
      </x:c>
      <x:c r="J554" s="25" t="str">
        <x:v>Paper Box</x:v>
      </x:c>
      <x:c r="K554" s="25" t="n">
        <x:v>3</x:v>
      </x:c>
      <x:c r="L554" s="26" t="n">
        <x:v>371</x:v>
      </x:c>
      <x:c r="M554" s="27" t="n">
        <x:v>0</x:v>
      </x:c>
      <x:c r="N554" s="26" t="n">
        <x:f>K554*L554</x:f>
        <x:v>1113</x:v>
      </x:c>
      <x:c r="O554" s="26" t="n">
        <x:f>N554*(1-M554)</x:f>
        <x:v>1113</x:v>
      </x:c>
      <x:c r="P554" s="26" t="n">
        <x:v>268</x:v>
      </x:c>
      <x:c r="Q554" s="26" t="n">
        <x:f>K554*P554</x:f>
        <x:v>804</x:v>
      </x:c>
      <x:c r="R554" s="26" t="n">
        <x:f>O554-Q554</x:f>
        <x:v>309</x:v>
      </x:c>
      <x:c r="S554" s="28" t="n">
        <x:f>IF(O554=0,0,R554/O554)</x:f>
        <x:v>0.2776280323450135</x:v>
      </x:c>
      <x:c r="T554" s="25" t="str">
        <x:v>Debit Card</x:v>
      </x:c>
      <x:c r="U554" s="25" t="str">
        <x:v>Completed</x:v>
      </x:c>
      <x:c r="V554" s="29" t="n">
        <x:v>5</x:v>
      </x:c>
    </x:row>
    <x:row r="555">
      <x:c r="A555" s="23" t="str">
        <x:v>MAN-2025-00554</x:v>
      </x:c>
      <x:c r="B555" s="24" t="n">
        <x:v>45742</x:v>
      </x:c>
      <x:c r="C555" s="25" t="str">
        <x:v>Mansoura</x:v>
      </x:c>
      <x:c r="D555" s="25" t="str">
        <x:v>Aga</x:v>
      </x:c>
      <x:c r="E555" s="25" t="str">
        <x:v>Youssef Fathy</x:v>
      </x:c>
      <x:c r="F555" s="25" t="str">
        <x:v>Amr Samir</x:v>
      </x:c>
      <x:c r="G555" s="25" t="str">
        <x:v>Small Business</x:v>
      </x:c>
      <x:c r="H555" s="25" t="str">
        <x:v>Website</x:v>
      </x:c>
      <x:c r="I555" s="25" t="str">
        <x:v>Office Supplies</x:v>
      </x:c>
      <x:c r="J555" s="25" t="str">
        <x:v>Calculator</x:v>
      </x:c>
      <x:c r="K555" s="25" t="n">
        <x:v>3</x:v>
      </x:c>
      <x:c r="L555" s="26" t="n">
        <x:v>422</x:v>
      </x:c>
      <x:c r="M555" s="27" t="n">
        <x:v>0</x:v>
      </x:c>
      <x:c r="N555" s="26" t="n">
        <x:f>K555*L555</x:f>
        <x:v>1266</x:v>
      </x:c>
      <x:c r="O555" s="26" t="n">
        <x:f>N555*(1-M555)</x:f>
        <x:v>1266</x:v>
      </x:c>
      <x:c r="P555" s="26" t="n">
        <x:v>279</x:v>
      </x:c>
      <x:c r="Q555" s="26" t="n">
        <x:f>K555*P555</x:f>
        <x:v>837</x:v>
      </x:c>
      <x:c r="R555" s="26" t="n">
        <x:f>O555-Q555</x:f>
        <x:v>429</x:v>
      </x:c>
      <x:c r="S555" s="28" t="n">
        <x:f>IF(O555=0,0,R555/O555)</x:f>
        <x:v>0.33886255924170616</x:v>
      </x:c>
      <x:c r="T555" s="25" t="str">
        <x:v>Digital Wallet</x:v>
      </x:c>
      <x:c r="U555" s="25" t="str">
        <x:v>Completed</x:v>
      </x:c>
      <x:c r="V555" s="29" t="n">
        <x:v>5</x:v>
      </x:c>
    </x:row>
    <x:row r="556">
      <x:c r="A556" s="23" t="str">
        <x:v>MAN-2025-00555</x:v>
      </x:c>
      <x:c r="B556" s="24" t="n">
        <x:v>45768</x:v>
      </x:c>
      <x:c r="C556" s="25" t="str">
        <x:v>Mansoura</x:v>
      </x:c>
      <x:c r="D556" s="25" t="str">
        <x:v>Mansoura City</x:v>
      </x:c>
      <x:c r="E556" s="25" t="str">
        <x:v>Youssef Fathy</x:v>
      </x:c>
      <x:c r="F556" s="25" t="str">
        <x:v>Hana Tarek</x:v>
      </x:c>
      <x:c r="G556" s="25" t="str">
        <x:v>Corporate</x:v>
      </x:c>
      <x:c r="H556" s="25" t="str">
        <x:v>Website</x:v>
      </x:c>
      <x:c r="I556" s="25" t="str">
        <x:v>Furniture</x:v>
      </x:c>
      <x:c r="J556" s="25" t="str">
        <x:v>Sofa</x:v>
      </x:c>
      <x:c r="K556" s="25" t="n">
        <x:v>5</x:v>
      </x:c>
      <x:c r="L556" s="26" t="n">
        <x:v>14069</x:v>
      </x:c>
      <x:c r="M556" s="27" t="n">
        <x:v>0</x:v>
      </x:c>
      <x:c r="N556" s="26" t="n">
        <x:f>K556*L556</x:f>
        <x:v>70345</x:v>
      </x:c>
      <x:c r="O556" s="26" t="n">
        <x:f>N556*(1-M556)</x:f>
        <x:v>70345</x:v>
      </x:c>
      <x:c r="P556" s="26" t="n">
        <x:v>10814</x:v>
      </x:c>
      <x:c r="Q556" s="26" t="n">
        <x:f>K556*P556</x:f>
        <x:v>54070</x:v>
      </x:c>
      <x:c r="R556" s="26" t="n">
        <x:f>O556-Q556</x:f>
        <x:v>16275</x:v>
      </x:c>
      <x:c r="S556" s="28" t="n">
        <x:f>IF(O556=0,0,R556/O556)</x:f>
        <x:v>0.2313597270594925</x:v>
      </x:c>
      <x:c r="T556" s="25" t="str">
        <x:v>Cash</x:v>
      </x:c>
      <x:c r="U556" s="25" t="str">
        <x:v>Completed</x:v>
      </x:c>
      <x:c r="V556" s="29" t="n">
        <x:v>4</x:v>
      </x:c>
    </x:row>
    <x:row r="557">
      <x:c r="A557" s="23" t="str">
        <x:v>MAN-2025-00556</x:v>
      </x:c>
      <x:c r="B557" s="24" t="n">
        <x:v>45820</x:v>
      </x:c>
      <x:c r="C557" s="25" t="str">
        <x:v>Mansoura</x:v>
      </x:c>
      <x:c r="D557" s="25" t="str">
        <x:v>Aga</x:v>
      </x:c>
      <x:c r="E557" s="25" t="str">
        <x:v>Youssef Fathy</x:v>
      </x:c>
      <x:c r="F557" s="25" t="str">
        <x:v>Karim Khalil</x:v>
      </x:c>
      <x:c r="G557" s="25" t="str">
        <x:v>Consumer</x:v>
      </x:c>
      <x:c r="H557" s="25" t="str">
        <x:v>Retail Store</x:v>
      </x:c>
      <x:c r="I557" s="25" t="str">
        <x:v>Office Supplies</x:v>
      </x:c>
      <x:c r="J557" s="25" t="str">
        <x:v>Printer</x:v>
      </x:c>
      <x:c r="K557" s="25" t="n">
        <x:v>1</x:v>
      </x:c>
      <x:c r="L557" s="26" t="n">
        <x:v>6659</x:v>
      </x:c>
      <x:c r="M557" s="27" t="n">
        <x:v>0</x:v>
      </x:c>
      <x:c r="N557" s="26" t="n">
        <x:f>K557*L557</x:f>
        <x:v>6659</x:v>
      </x:c>
      <x:c r="O557" s="26" t="n">
        <x:f>N557*(1-M557)</x:f>
        <x:v>6659</x:v>
      </x:c>
      <x:c r="P557" s="26" t="n">
        <x:v>5545</x:v>
      </x:c>
      <x:c r="Q557" s="26" t="n">
        <x:f>K557*P557</x:f>
        <x:v>5545</x:v>
      </x:c>
      <x:c r="R557" s="26" t="n">
        <x:f>O557-Q557</x:f>
        <x:v>1114</x:v>
      </x:c>
      <x:c r="S557" s="28" t="n">
        <x:f>IF(O557=0,0,R557/O557)</x:f>
        <x:v>0.1672923862441808</x:v>
      </x:c>
      <x:c r="T557" s="25" t="str">
        <x:v>Bank Transfer</x:v>
      </x:c>
      <x:c r="U557" s="25" t="str">
        <x:v>Returned</x:v>
      </x:c>
      <x:c r="V557" s="29" t="n">
        <x:v>4</x:v>
      </x:c>
    </x:row>
    <x:row r="558">
      <x:c r="A558" s="23" t="str">
        <x:v>MAN-2025-00557</x:v>
      </x:c>
      <x:c r="B558" s="24" t="n">
        <x:v>45764</x:v>
      </x:c>
      <x:c r="C558" s="25" t="str">
        <x:v>Mansoura</x:v>
      </x:c>
      <x:c r="D558" s="25" t="str">
        <x:v>Talkha</x:v>
      </x:c>
      <x:c r="E558" s="25" t="str">
        <x:v>Ali Sayed</x:v>
      </x:c>
      <x:c r="F558" s="25" t="str">
        <x:v>Aya Tarek</x:v>
      </x:c>
      <x:c r="G558" s="25" t="str">
        <x:v>Consumer</x:v>
      </x:c>
      <x:c r="H558" s="25" t="str">
        <x:v>Retail Store</x:v>
      </x:c>
      <x:c r="I558" s="25" t="str">
        <x:v>Furniture</x:v>
      </x:c>
      <x:c r="J558" s="25" t="str">
        <x:v>Office Chair</x:v>
      </x:c>
      <x:c r="K558" s="25" t="n">
        <x:v>5</x:v>
      </x:c>
      <x:c r="L558" s="26" t="n">
        <x:v>3623</x:v>
      </x:c>
      <x:c r="M558" s="27" t="n">
        <x:v>0.05</x:v>
      </x:c>
      <x:c r="N558" s="26" t="n">
        <x:f>K558*L558</x:f>
        <x:v>18115</x:v>
      </x:c>
      <x:c r="O558" s="26" t="n">
        <x:f>N558*(1-M558)</x:f>
        <x:v>17209.25</x:v>
      </x:c>
      <x:c r="P558" s="26" t="n">
        <x:v>2824</x:v>
      </x:c>
      <x:c r="Q558" s="26" t="n">
        <x:f>K558*P558</x:f>
        <x:v>14120</x:v>
      </x:c>
      <x:c r="R558" s="26" t="n">
        <x:f>O558-Q558</x:f>
        <x:v>3089.25</x:v>
      </x:c>
      <x:c r="S558" s="28" t="n">
        <x:f>IF(O558=0,0,R558/O558)</x:f>
        <x:v>0.17951101878350306</x:v>
      </x:c>
      <x:c r="T558" s="25" t="str">
        <x:v>Credit Card</x:v>
      </x:c>
      <x:c r="U558" s="25" t="str">
        <x:v>Returned</x:v>
      </x:c>
      <x:c r="V558" s="29" t="n">
        <x:v>5</x:v>
      </x:c>
    </x:row>
    <x:row r="559">
      <x:c r="A559" s="23" t="str">
        <x:v>MAN-2025-00558</x:v>
      </x:c>
      <x:c r="B559" s="24" t="n">
        <x:v>45895</x:v>
      </x:c>
      <x:c r="C559" s="25" t="str">
        <x:v>Mansoura</x:v>
      </x:c>
      <x:c r="D559" s="25" t="str">
        <x:v>Mit Ghamr</x:v>
      </x:c>
      <x:c r="E559" s="25" t="str">
        <x:v>Salma Mansour</x:v>
      </x:c>
      <x:c r="F559" s="25" t="str">
        <x:v>Mohamed Khalil</x:v>
      </x:c>
      <x:c r="G559" s="25" t="str">
        <x:v>Consumer</x:v>
      </x:c>
      <x:c r="H559" s="25" t="str">
        <x:v>Retail Store</x:v>
      </x:c>
      <x:c r="I559" s="25" t="str">
        <x:v>Electronics</x:v>
      </x:c>
      <x:c r="J559" s="25" t="str">
        <x:v>Tablet</x:v>
      </x:c>
      <x:c r="K559" s="25" t="n">
        <x:v>4</x:v>
      </x:c>
      <x:c r="L559" s="26" t="n">
        <x:v>8795</x:v>
      </x:c>
      <x:c r="M559" s="27" t="n">
        <x:v>0</x:v>
      </x:c>
      <x:c r="N559" s="26" t="n">
        <x:f>K559*L559</x:f>
        <x:v>35180</x:v>
      </x:c>
      <x:c r="O559" s="26" t="n">
        <x:f>N559*(1-M559)</x:f>
        <x:v>35180</x:v>
      </x:c>
      <x:c r="P559" s="26" t="n">
        <x:v>7244</x:v>
      </x:c>
      <x:c r="Q559" s="26" t="n">
        <x:f>K559*P559</x:f>
        <x:v>28976</x:v>
      </x:c>
      <x:c r="R559" s="26" t="n">
        <x:f>O559-Q559</x:f>
        <x:v>6204</x:v>
      </x:c>
      <x:c r="S559" s="28" t="n">
        <x:f>IF(O559=0,0,R559/O559)</x:f>
        <x:v>0.1763501989766913</x:v>
      </x:c>
      <x:c r="T559" s="25" t="str">
        <x:v>Debit Card</x:v>
      </x:c>
      <x:c r="U559" s="25" t="str">
        <x:v>Completed</x:v>
      </x:c>
      <x:c r="V559" s="29" t="n">
        <x:v>5</x:v>
      </x:c>
    </x:row>
    <x:row r="560">
      <x:c r="A560" s="23" t="str">
        <x:v>MAN-2025-00559</x:v>
      </x:c>
      <x:c r="B560" s="24" t="n">
        <x:v>45706</x:v>
      </x:c>
      <x:c r="C560" s="25" t="str">
        <x:v>Mansoura</x:v>
      </x:c>
      <x:c r="D560" s="25" t="str">
        <x:v>Mit Ghamr</x:v>
      </x:c>
      <x:c r="E560" s="25" t="str">
        <x:v>Ali Sayed</x:v>
      </x:c>
      <x:c r="F560" s="25" t="str">
        <x:v>Mohamed Fathy</x:v>
      </x:c>
      <x:c r="G560" s="25" t="str">
        <x:v>Consumer</x:v>
      </x:c>
      <x:c r="H560" s="25" t="str">
        <x:v>Phone Order</x:v>
      </x:c>
      <x:c r="I560" s="25" t="str">
        <x:v>Furniture</x:v>
      </x:c>
      <x:c r="J560" s="25" t="str">
        <x:v>Desk</x:v>
      </x:c>
      <x:c r="K560" s="25" t="n">
        <x:v>3</x:v>
      </x:c>
      <x:c r="L560" s="26" t="n">
        <x:v>5376</x:v>
      </x:c>
      <x:c r="M560" s="27" t="n">
        <x:v>0.1</x:v>
      </x:c>
      <x:c r="N560" s="26" t="n">
        <x:f>K560*L560</x:f>
        <x:v>16128</x:v>
      </x:c>
      <x:c r="O560" s="26" t="n">
        <x:f>N560*(1-M560)</x:f>
        <x:v>14515.2</x:v>
      </x:c>
      <x:c r="P560" s="26" t="n">
        <x:v>3975</x:v>
      </x:c>
      <x:c r="Q560" s="26" t="n">
        <x:f>K560*P560</x:f>
        <x:v>11925</x:v>
      </x:c>
      <x:c r="R560" s="26" t="n">
        <x:f>O560-Q560</x:f>
        <x:v>2590.2000000000007</x:v>
      </x:c>
      <x:c r="S560" s="28" t="n">
        <x:f>IF(O560=0,0,R560/O560)</x:f>
        <x:v>0.17844742063492067</x:v>
      </x:c>
      <x:c r="T560" s="25" t="str">
        <x:v>Bank Transfer</x:v>
      </x:c>
      <x:c r="U560" s="25" t="str">
        <x:v>Completed</x:v>
      </x:c>
      <x:c r="V560" s="29" t="n">
        <x:v>3</x:v>
      </x:c>
    </x:row>
    <x:row r="561">
      <x:c r="A561" s="23" t="str">
        <x:v>MAN-2025-00560</x:v>
      </x:c>
      <x:c r="B561" s="24" t="n">
        <x:v>45666</x:v>
      </x:c>
      <x:c r="C561" s="25" t="str">
        <x:v>Mansoura</x:v>
      </x:c>
      <x:c r="D561" s="25" t="str">
        <x:v>Aga</x:v>
      </x:c>
      <x:c r="E561" s="25" t="str">
        <x:v>Aya Farouk</x:v>
      </x:c>
      <x:c r="F561" s="25" t="str">
        <x:v>Ahmed Khalil</x:v>
      </x:c>
      <x:c r="G561" s="25" t="str">
        <x:v>Corporate</x:v>
      </x:c>
      <x:c r="H561" s="25" t="str">
        <x:v>Retail Store</x:v>
      </x:c>
      <x:c r="I561" s="25" t="str">
        <x:v>Office Supplies</x:v>
      </x:c>
      <x:c r="J561" s="25" t="str">
        <x:v>Ink Cartridge</x:v>
      </x:c>
      <x:c r="K561" s="25" t="n">
        <x:v>5</x:v>
      </x:c>
      <x:c r="L561" s="26" t="n">
        <x:v>848</x:v>
      </x:c>
      <x:c r="M561" s="27" t="n">
        <x:v>0.15</x:v>
      </x:c>
      <x:c r="N561" s="26" t="n">
        <x:f>K561*L561</x:f>
        <x:v>4240</x:v>
      </x:c>
      <x:c r="O561" s="26" t="n">
        <x:f>N561*(1-M561)</x:f>
        <x:v>3604</x:v>
      </x:c>
      <x:c r="P561" s="26" t="n">
        <x:v>592</x:v>
      </x:c>
      <x:c r="Q561" s="26" t="n">
        <x:f>K561*P561</x:f>
        <x:v>2960</x:v>
      </x:c>
      <x:c r="R561" s="26" t="n">
        <x:f>O561-Q561</x:f>
        <x:v>644</x:v>
      </x:c>
      <x:c r="S561" s="28" t="n">
        <x:f>IF(O561=0,0,R561/O561)</x:f>
        <x:v>0.17869034406215317</x:v>
      </x:c>
      <x:c r="T561" s="25" t="str">
        <x:v>Credit Card</x:v>
      </x:c>
      <x:c r="U561" s="25" t="str">
        <x:v>Returned</x:v>
      </x:c>
      <x:c r="V561" s="29" t="n">
        <x:v>4</x:v>
      </x:c>
    </x:row>
    <x:row r="562">
      <x:c r="A562" s="23" t="str">
        <x:v>MAN-2025-00561</x:v>
      </x:c>
      <x:c r="B562" s="24" t="n">
        <x:v>45779</x:v>
      </x:c>
      <x:c r="C562" s="25" t="str">
        <x:v>Mansoura</x:v>
      </x:c>
      <x:c r="D562" s="25" t="str">
        <x:v>Sherbin</x:v>
      </x:c>
      <x:c r="E562" s="25" t="str">
        <x:v>Salma Mansour</x:v>
      </x:c>
      <x:c r="F562" s="25" t="str">
        <x:v>Amr Ibrahim</x:v>
      </x:c>
      <x:c r="G562" s="25" t="str">
        <x:v>Corporate</x:v>
      </x:c>
      <x:c r="H562" s="25" t="str">
        <x:v>Retail Store</x:v>
      </x:c>
      <x:c r="I562" s="25" t="str">
        <x:v>Office Supplies</x:v>
      </x:c>
      <x:c r="J562" s="25" t="str">
        <x:v>Ink Cartridge</x:v>
      </x:c>
      <x:c r="K562" s="25" t="n">
        <x:v>2</x:v>
      </x:c>
      <x:c r="L562" s="26" t="n">
        <x:v>887</x:v>
      </x:c>
      <x:c r="M562" s="27" t="n">
        <x:v>0</x:v>
      </x:c>
      <x:c r="N562" s="26" t="n">
        <x:f>K562*L562</x:f>
        <x:v>1774</x:v>
      </x:c>
      <x:c r="O562" s="26" t="n">
        <x:f>N562*(1-M562)</x:f>
        <x:v>1774</x:v>
      </x:c>
      <x:c r="P562" s="26" t="n">
        <x:v>583</x:v>
      </x:c>
      <x:c r="Q562" s="26" t="n">
        <x:f>K562*P562</x:f>
        <x:v>1166</x:v>
      </x:c>
      <x:c r="R562" s="26" t="n">
        <x:f>O562-Q562</x:f>
        <x:v>608</x:v>
      </x:c>
      <x:c r="S562" s="28" t="n">
        <x:f>IF(O562=0,0,R562/O562)</x:f>
        <x:v>0.342728297632469</x:v>
      </x:c>
      <x:c r="T562" s="25" t="str">
        <x:v>Digital Wallet</x:v>
      </x:c>
      <x:c r="U562" s="25" t="str">
        <x:v>Completed</x:v>
      </x:c>
      <x:c r="V562" s="29" t="n">
        <x:v>4</x:v>
      </x:c>
    </x:row>
    <x:row r="563">
      <x:c r="A563" s="23" t="str">
        <x:v>MAN-2025-00562</x:v>
      </x:c>
      <x:c r="B563" s="24" t="n">
        <x:v>46011</x:v>
      </x:c>
      <x:c r="C563" s="25" t="str">
        <x:v>Mansoura</x:v>
      </x:c>
      <x:c r="D563" s="25" t="str">
        <x:v>Sherbin</x:v>
      </x:c>
      <x:c r="E563" s="25" t="str">
        <x:v>Salma Mansour</x:v>
      </x:c>
      <x:c r="F563" s="25" t="str">
        <x:v>Ahmed Tarek</x:v>
      </x:c>
      <x:c r="G563" s="25" t="str">
        <x:v>Small Business</x:v>
      </x:c>
      <x:c r="H563" s="25" t="str">
        <x:v>Retail Store</x:v>
      </x:c>
      <x:c r="I563" s="25" t="str">
        <x:v>Office Supplies</x:v>
      </x:c>
      <x:c r="J563" s="25" t="str">
        <x:v>Printer</x:v>
      </x:c>
      <x:c r="K563" s="25" t="n">
        <x:v>2</x:v>
      </x:c>
      <x:c r="L563" s="26" t="n">
        <x:v>6308</x:v>
      </x:c>
      <x:c r="M563" s="27" t="n">
        <x:v>0</x:v>
      </x:c>
      <x:c r="N563" s="26" t="n">
        <x:f>K563*L563</x:f>
        <x:v>12616</x:v>
      </x:c>
      <x:c r="O563" s="26" t="n">
        <x:f>N563*(1-M563)</x:f>
        <x:v>12616</x:v>
      </x:c>
      <x:c r="P563" s="26" t="n">
        <x:v>5475</x:v>
      </x:c>
      <x:c r="Q563" s="26" t="n">
        <x:f>K563*P563</x:f>
        <x:v>10950</x:v>
      </x:c>
      <x:c r="R563" s="26" t="n">
        <x:f>O563-Q563</x:f>
        <x:v>1666</x:v>
      </x:c>
      <x:c r="S563" s="28" t="n">
        <x:f>IF(O563=0,0,R563/O563)</x:f>
        <x:v>0.13205453392517438</x:v>
      </x:c>
      <x:c r="T563" s="25" t="str">
        <x:v>Bank Transfer</x:v>
      </x:c>
      <x:c r="U563" s="25" t="str">
        <x:v>Completed</x:v>
      </x:c>
      <x:c r="V563" s="29" t="n">
        <x:v>5</x:v>
      </x:c>
    </x:row>
    <x:row r="564">
      <x:c r="A564" s="23" t="str">
        <x:v>MAN-2025-00563</x:v>
      </x:c>
      <x:c r="B564" s="24" t="n">
        <x:v>45784</x:v>
      </x:c>
      <x:c r="C564" s="25" t="str">
        <x:v>Mansoura</x:v>
      </x:c>
      <x:c r="D564" s="25" t="str">
        <x:v>Mansoura City</x:v>
      </x:c>
      <x:c r="E564" s="25" t="str">
        <x:v>Ali Sayed</x:v>
      </x:c>
      <x:c r="F564" s="25" t="str">
        <x:v>Nour Hassan</x:v>
      </x:c>
      <x:c r="G564" s="25" t="str">
        <x:v>Consumer</x:v>
      </x:c>
      <x:c r="H564" s="25" t="str">
        <x:v>Retail Store</x:v>
      </x:c>
      <x:c r="I564" s="25" t="str">
        <x:v>Electronics</x:v>
      </x:c>
      <x:c r="J564" s="25" t="str">
        <x:v>Laptop</x:v>
      </x:c>
      <x:c r="K564" s="25" t="n">
        <x:v>6</x:v>
      </x:c>
      <x:c r="L564" s="26" t="n">
        <x:v>24552</x:v>
      </x:c>
      <x:c r="M564" s="27" t="n">
        <x:v>0</x:v>
      </x:c>
      <x:c r="N564" s="26" t="n">
        <x:f>K564*L564</x:f>
        <x:v>147312</x:v>
      </x:c>
      <x:c r="O564" s="26" t="n">
        <x:f>N564*(1-M564)</x:f>
        <x:v>147312</x:v>
      </x:c>
      <x:c r="P564" s="26" t="n">
        <x:v>20841</x:v>
      </x:c>
      <x:c r="Q564" s="26" t="n">
        <x:f>K564*P564</x:f>
        <x:v>125046</x:v>
      </x:c>
      <x:c r="R564" s="26" t="n">
        <x:f>O564-Q564</x:f>
        <x:v>22266</x:v>
      </x:c>
      <x:c r="S564" s="28" t="n">
        <x:f>IF(O564=0,0,R564/O564)</x:f>
        <x:v>0.1511485826001955</x:v>
      </x:c>
      <x:c r="T564" s="25" t="str">
        <x:v>Credit Card</x:v>
      </x:c>
      <x:c r="U564" s="25" t="str">
        <x:v>Returned</x:v>
      </x:c>
      <x:c r="V564" s="29" t="n">
        <x:v>4</x:v>
      </x:c>
    </x:row>
    <x:row r="565">
      <x:c r="A565" s="23" t="str">
        <x:v>MAN-2025-00564</x:v>
      </x:c>
      <x:c r="B565" s="24" t="n">
        <x:v>45681</x:v>
      </x:c>
      <x:c r="C565" s="25" t="str">
        <x:v>Mansoura</x:v>
      </x:c>
      <x:c r="D565" s="25" t="str">
        <x:v>Mit Ghamr</x:v>
      </x:c>
      <x:c r="E565" s="25" t="str">
        <x:v>Aya Farouk</x:v>
      </x:c>
      <x:c r="F565" s="25" t="str">
        <x:v>Youssef Ibrahim</x:v>
      </x:c>
      <x:c r="G565" s="25" t="str">
        <x:v>Consumer</x:v>
      </x:c>
      <x:c r="H565" s="25" t="str">
        <x:v>Phone Order</x:v>
      </x:c>
      <x:c r="I565" s="25" t="str">
        <x:v>Furniture</x:v>
      </x:c>
      <x:c r="J565" s="25" t="str">
        <x:v>Office Chair</x:v>
      </x:c>
      <x:c r="K565" s="25" t="n">
        <x:v>5</x:v>
      </x:c>
      <x:c r="L565" s="26" t="n">
        <x:v>3774</x:v>
      </x:c>
      <x:c r="M565" s="27" t="n">
        <x:v>0.15</x:v>
      </x:c>
      <x:c r="N565" s="26" t="n">
        <x:f>K565*L565</x:f>
        <x:v>18870</x:v>
      </x:c>
      <x:c r="O565" s="26" t="n">
        <x:f>N565*(1-M565)</x:f>
        <x:v>16039.5</x:v>
      </x:c>
      <x:c r="P565" s="26" t="n">
        <x:v>2962</x:v>
      </x:c>
      <x:c r="Q565" s="26" t="n">
        <x:f>K565*P565</x:f>
        <x:v>14810</x:v>
      </x:c>
      <x:c r="R565" s="26" t="n">
        <x:f>O565-Q565</x:f>
        <x:v>1229.5</x:v>
      </x:c>
      <x:c r="S565" s="28" t="n">
        <x:f>IF(O565=0,0,R565/O565)</x:f>
        <x:v>0.07665450918046074</x:v>
      </x:c>
      <x:c r="T565" s="25" t="str">
        <x:v>Bank Transfer</x:v>
      </x:c>
      <x:c r="U565" s="25" t="str">
        <x:v>Completed</x:v>
      </x:c>
      <x:c r="V565" s="29" t="n">
        <x:v>5</x:v>
      </x:c>
    </x:row>
    <x:row r="566">
      <x:c r="A566" s="23" t="str">
        <x:v>MAN-2025-00565</x:v>
      </x:c>
      <x:c r="B566" s="24" t="n">
        <x:v>45953</x:v>
      </x:c>
      <x:c r="C566" s="25" t="str">
        <x:v>Mansoura</x:v>
      </x:c>
      <x:c r="D566" s="25" t="str">
        <x:v>Aga</x:v>
      </x:c>
      <x:c r="E566" s="25" t="str">
        <x:v>Ali Sayed</x:v>
      </x:c>
      <x:c r="F566" s="25" t="str">
        <x:v>Aya Gamal</x:v>
      </x:c>
      <x:c r="G566" s="25" t="str">
        <x:v>Small Business</x:v>
      </x:c>
      <x:c r="H566" s="25" t="str">
        <x:v>Phone Order</x:v>
      </x:c>
      <x:c r="I566" s="25" t="str">
        <x:v>Furniture</x:v>
      </x:c>
      <x:c r="J566" s="25" t="str">
        <x:v>Sofa</x:v>
      </x:c>
      <x:c r="K566" s="25" t="n">
        <x:v>6</x:v>
      </x:c>
      <x:c r="L566" s="26" t="n">
        <x:v>12758</x:v>
      </x:c>
      <x:c r="M566" s="27" t="n">
        <x:v>0.15</x:v>
      </x:c>
      <x:c r="N566" s="26" t="n">
        <x:f>K566*L566</x:f>
        <x:v>76548</x:v>
      </x:c>
      <x:c r="O566" s="26" t="n">
        <x:f>N566*(1-M566)</x:f>
        <x:v>65065.799999999996</x:v>
      </x:c>
      <x:c r="P566" s="26" t="n">
        <x:v>10601</x:v>
      </x:c>
      <x:c r="Q566" s="26" t="n">
        <x:f>K566*P566</x:f>
        <x:v>63606</x:v>
      </x:c>
      <x:c r="R566" s="26" t="n">
        <x:f>O566-Q566</x:f>
        <x:v>1459.7999999999956</x:v>
      </x:c>
      <x:c r="S566" s="28" t="n">
        <x:f>IF(O566=0,0,R566/O566)</x:f>
        <x:v>0.022435749656501507</x:v>
      </x:c>
      <x:c r="T566" s="25" t="str">
        <x:v>Credit Card</x:v>
      </x:c>
      <x:c r="U566" s="25" t="str">
        <x:v>Returned</x:v>
      </x:c>
      <x:c r="V566" s="29" t="n">
        <x:v>4</x:v>
      </x:c>
    </x:row>
    <x:row r="567">
      <x:c r="A567" s="23" t="str">
        <x:v>MAN-2025-00566</x:v>
      </x:c>
      <x:c r="B567" s="24" t="n">
        <x:v>45851</x:v>
      </x:c>
      <x:c r="C567" s="25" t="str">
        <x:v>Mansoura</x:v>
      </x:c>
      <x:c r="D567" s="25" t="str">
        <x:v>Aga</x:v>
      </x:c>
      <x:c r="E567" s="25" t="str">
        <x:v>Youssef Fathy</x:v>
      </x:c>
      <x:c r="F567" s="25" t="str">
        <x:v>Farah Ibrahim</x:v>
      </x:c>
      <x:c r="G567" s="25" t="str">
        <x:v>Small Business</x:v>
      </x:c>
      <x:c r="H567" s="25" t="str">
        <x:v>Mobile App</x:v>
      </x:c>
      <x:c r="I567" s="25" t="str">
        <x:v>Furniture</x:v>
      </x:c>
      <x:c r="J567" s="25" t="str">
        <x:v>Desk</x:v>
      </x:c>
      <x:c r="K567" s="25" t="n">
        <x:v>5</x:v>
      </x:c>
      <x:c r="L567" s="26" t="n">
        <x:v>4872</x:v>
      </x:c>
      <x:c r="M567" s="27" t="n">
        <x:v>0.05</x:v>
      </x:c>
      <x:c r="N567" s="26" t="n">
        <x:f>K567*L567</x:f>
        <x:v>24360</x:v>
      </x:c>
      <x:c r="O567" s="26" t="n">
        <x:f>N567*(1-M567)</x:f>
        <x:v>23142</x:v>
      </x:c>
      <x:c r="P567" s="26" t="n">
        <x:v>3864</x:v>
      </x:c>
      <x:c r="Q567" s="26" t="n">
        <x:f>K567*P567</x:f>
        <x:v>19320</x:v>
      </x:c>
      <x:c r="R567" s="26" t="n">
        <x:f>O567-Q567</x:f>
        <x:v>3822</x:v>
      </x:c>
      <x:c r="S567" s="28" t="n">
        <x:f>IF(O567=0,0,R567/O567)</x:f>
        <x:v>0.16515426497277677</x:v>
      </x:c>
      <x:c r="T567" s="25" t="str">
        <x:v>Cash</x:v>
      </x:c>
      <x:c r="U567" s="25" t="str">
        <x:v>Returned</x:v>
      </x:c>
      <x:c r="V567" s="29" t="n">
        <x:v>3</x:v>
      </x:c>
    </x:row>
    <x:row r="568">
      <x:c r="A568" s="23" t="str">
        <x:v>MAN-2025-00567</x:v>
      </x:c>
      <x:c r="B568" s="24" t="n">
        <x:v>45765</x:v>
      </x:c>
      <x:c r="C568" s="25" t="str">
        <x:v>Mansoura</x:v>
      </x:c>
      <x:c r="D568" s="25" t="str">
        <x:v>Mit Ghamr</x:v>
      </x:c>
      <x:c r="E568" s="25" t="str">
        <x:v>Youssef Fathy</x:v>
      </x:c>
      <x:c r="F568" s="25" t="str">
        <x:v>Nour Sayed</x:v>
      </x:c>
      <x:c r="G568" s="25" t="str">
        <x:v>Consumer</x:v>
      </x:c>
      <x:c r="H568" s="25" t="str">
        <x:v>Phone Order</x:v>
      </x:c>
      <x:c r="I568" s="25" t="str">
        <x:v>Furniture</x:v>
      </x:c>
      <x:c r="J568" s="25" t="str">
        <x:v>Desk</x:v>
      </x:c>
      <x:c r="K568" s="25" t="n">
        <x:v>2</x:v>
      </x:c>
      <x:c r="L568" s="26" t="n">
        <x:v>4815</x:v>
      </x:c>
      <x:c r="M568" s="27" t="n">
        <x:v>0</x:v>
      </x:c>
      <x:c r="N568" s="26" t="n">
        <x:f>K568*L568</x:f>
        <x:v>9630</x:v>
      </x:c>
      <x:c r="O568" s="26" t="n">
        <x:f>N568*(1-M568)</x:f>
        <x:v>9630</x:v>
      </x:c>
      <x:c r="P568" s="26" t="n">
        <x:v>3949</x:v>
      </x:c>
      <x:c r="Q568" s="26" t="n">
        <x:f>K568*P568</x:f>
        <x:v>7898</x:v>
      </x:c>
      <x:c r="R568" s="26" t="n">
        <x:f>O568-Q568</x:f>
        <x:v>1732</x:v>
      </x:c>
      <x:c r="S568" s="28" t="n">
        <x:f>IF(O568=0,0,R568/O568)</x:f>
        <x:v>0.1798546209761163</x:v>
      </x:c>
      <x:c r="T568" s="25" t="str">
        <x:v>Debit Card</x:v>
      </x:c>
      <x:c r="U568" s="25" t="str">
        <x:v>Completed</x:v>
      </x:c>
      <x:c r="V568" s="29" t="n">
        <x:v>5</x:v>
      </x:c>
    </x:row>
    <x:row r="569">
      <x:c r="A569" s="23" t="str">
        <x:v>MAN-2025-00568</x:v>
      </x:c>
      <x:c r="B569" s="24" t="n">
        <x:v>45816</x:v>
      </x:c>
      <x:c r="C569" s="25" t="str">
        <x:v>Mansoura</x:v>
      </x:c>
      <x:c r="D569" s="25" t="str">
        <x:v>Aga</x:v>
      </x:c>
      <x:c r="E569" s="25" t="str">
        <x:v>Ali Sayed</x:v>
      </x:c>
      <x:c r="F569" s="25" t="str">
        <x:v>Farah Nasser</x:v>
      </x:c>
      <x:c r="G569" s="25" t="str">
        <x:v>Consumer</x:v>
      </x:c>
      <x:c r="H569" s="25" t="str">
        <x:v>Mobile App</x:v>
      </x:c>
      <x:c r="I569" s="25" t="str">
        <x:v>Furniture</x:v>
      </x:c>
      <x:c r="J569" s="25" t="str">
        <x:v>Office Chair</x:v>
      </x:c>
      <x:c r="K569" s="25" t="n">
        <x:v>6</x:v>
      </x:c>
      <x:c r="L569" s="26" t="n">
        <x:v>3972</x:v>
      </x:c>
      <x:c r="M569" s="27" t="n">
        <x:v>0.05</x:v>
      </x:c>
      <x:c r="N569" s="26" t="n">
        <x:f>K569*L569</x:f>
        <x:v>23832</x:v>
      </x:c>
      <x:c r="O569" s="26" t="n">
        <x:f>N569*(1-M569)</x:f>
        <x:v>22640.399999999998</x:v>
      </x:c>
      <x:c r="P569" s="26" t="n">
        <x:v>2806</x:v>
      </x:c>
      <x:c r="Q569" s="26" t="n">
        <x:f>K569*P569</x:f>
        <x:v>16836</x:v>
      </x:c>
      <x:c r="R569" s="26" t="n">
        <x:f>O569-Q569</x:f>
        <x:v>5804.399999999998</x:v>
      </x:c>
      <x:c r="S569" s="28" t="n">
        <x:f>IF(O569=0,0,R569/O569)</x:f>
        <x:v>0.2563735623045528</x:v>
      </x:c>
      <x:c r="T569" s="25" t="str">
        <x:v>Bank Transfer</x:v>
      </x:c>
      <x:c r="U569" s="25" t="str">
        <x:v>Completed</x:v>
      </x:c>
      <x:c r="V569" s="29" t="n">
        <x:v>4</x:v>
      </x:c>
    </x:row>
    <x:row r="570">
      <x:c r="A570" s="23" t="str">
        <x:v>MAN-2025-00569</x:v>
      </x:c>
      <x:c r="B570" s="24" t="n">
        <x:v>45821</x:v>
      </x:c>
      <x:c r="C570" s="25" t="str">
        <x:v>Mansoura</x:v>
      </x:c>
      <x:c r="D570" s="25" t="str">
        <x:v>Talkha</x:v>
      </x:c>
      <x:c r="E570" s="25" t="str">
        <x:v>Ali Sayed</x:v>
      </x:c>
      <x:c r="F570" s="25" t="str">
        <x:v>Ali Gamal</x:v>
      </x:c>
      <x:c r="G570" s="25" t="str">
        <x:v>Consumer</x:v>
      </x:c>
      <x:c r="H570" s="25" t="str">
        <x:v>Website</x:v>
      </x:c>
      <x:c r="I570" s="25" t="str">
        <x:v>Furniture</x:v>
      </x:c>
      <x:c r="J570" s="25" t="str">
        <x:v>Desk</x:v>
      </x:c>
      <x:c r="K570" s="25" t="n">
        <x:v>5</x:v>
      </x:c>
      <x:c r="L570" s="26" t="n">
        <x:v>5251</x:v>
      </x:c>
      <x:c r="M570" s="27" t="n">
        <x:v>0</x:v>
      </x:c>
      <x:c r="N570" s="26" t="n">
        <x:f>K570*L570</x:f>
        <x:v>26255</x:v>
      </x:c>
      <x:c r="O570" s="26" t="n">
        <x:f>N570*(1-M570)</x:f>
        <x:v>26255</x:v>
      </x:c>
      <x:c r="P570" s="26" t="n">
        <x:v>3926</x:v>
      </x:c>
      <x:c r="Q570" s="26" t="n">
        <x:f>K570*P570</x:f>
        <x:v>19630</x:v>
      </x:c>
      <x:c r="R570" s="26" t="n">
        <x:f>O570-Q570</x:f>
        <x:v>6625</x:v>
      </x:c>
      <x:c r="S570" s="28" t="n">
        <x:f>IF(O570=0,0,R570/O570)</x:f>
        <x:v>0.25233288897352885</x:v>
      </x:c>
      <x:c r="T570" s="25" t="str">
        <x:v>Cash</x:v>
      </x:c>
      <x:c r="U570" s="25" t="str">
        <x:v>Completed</x:v>
      </x:c>
      <x:c r="V570" s="29" t="n">
        <x:v>5</x:v>
      </x:c>
    </x:row>
    <x:row r="571">
      <x:c r="A571" s="23" t="str">
        <x:v>MAN-2025-00570</x:v>
      </x:c>
      <x:c r="B571" s="24" t="n">
        <x:v>45792</x:v>
      </x:c>
      <x:c r="C571" s="25" t="str">
        <x:v>Mansoura</x:v>
      </x:c>
      <x:c r="D571" s="25" t="str">
        <x:v>Sherbin</x:v>
      </x:c>
      <x:c r="E571" s="25" t="str">
        <x:v>Ali Sayed</x:v>
      </x:c>
      <x:c r="F571" s="25" t="str">
        <x:v>Hana Nasser</x:v>
      </x:c>
      <x:c r="G571" s="25" t="str">
        <x:v>Consumer</x:v>
      </x:c>
      <x:c r="H571" s="25" t="str">
        <x:v>Website</x:v>
      </x:c>
      <x:c r="I571" s="25" t="str">
        <x:v>Office Supplies</x:v>
      </x:c>
      <x:c r="J571" s="25" t="str">
        <x:v>Calculator</x:v>
      </x:c>
      <x:c r="K571" s="25" t="n">
        <x:v>6</x:v>
      </x:c>
      <x:c r="L571" s="26" t="n">
        <x:v>426</x:v>
      </x:c>
      <x:c r="M571" s="27" t="n">
        <x:v>0.15</x:v>
      </x:c>
      <x:c r="N571" s="26" t="n">
        <x:f>K571*L571</x:f>
        <x:v>2556</x:v>
      </x:c>
      <x:c r="O571" s="26" t="n">
        <x:f>N571*(1-M571)</x:f>
        <x:v>2172.6</x:v>
      </x:c>
      <x:c r="P571" s="26" t="n">
        <x:v>284</x:v>
      </x:c>
      <x:c r="Q571" s="26" t="n">
        <x:f>K571*P571</x:f>
        <x:v>1704</x:v>
      </x:c>
      <x:c r="R571" s="26" t="n">
        <x:f>O571-Q571</x:f>
        <x:v>468.5999999999999</x:v>
      </x:c>
      <x:c r="S571" s="28" t="n">
        <x:f>IF(O571=0,0,R571/O571)</x:f>
        <x:v>0.21568627450980388</x:v>
      </x:c>
      <x:c r="T571" s="25" t="str">
        <x:v>Debit Card</x:v>
      </x:c>
      <x:c r="U571" s="25" t="str">
        <x:v>Completed</x:v>
      </x:c>
      <x:c r="V571" s="29" t="n">
        <x:v>5</x:v>
      </x:c>
    </x:row>
    <x:row r="572">
      <x:c r="A572" s="23" t="str">
        <x:v>MAN-2025-00571</x:v>
      </x:c>
      <x:c r="B572" s="24" t="n">
        <x:v>45795</x:v>
      </x:c>
      <x:c r="C572" s="25" t="str">
        <x:v>Mansoura</x:v>
      </x:c>
      <x:c r="D572" s="25" t="str">
        <x:v>Talkha</x:v>
      </x:c>
      <x:c r="E572" s="25" t="str">
        <x:v>Ali Sayed</x:v>
      </x:c>
      <x:c r="F572" s="25" t="str">
        <x:v>Omar Khalil</x:v>
      </x:c>
      <x:c r="G572" s="25" t="str">
        <x:v>Consumer</x:v>
      </x:c>
      <x:c r="H572" s="25" t="str">
        <x:v>Website</x:v>
      </x:c>
      <x:c r="I572" s="25" t="str">
        <x:v>Furniture</x:v>
      </x:c>
      <x:c r="J572" s="25" t="str">
        <x:v>Bookshelf</x:v>
      </x:c>
      <x:c r="K572" s="25" t="n">
        <x:v>6</x:v>
      </x:c>
      <x:c r="L572" s="26" t="n">
        <x:v>2850</x:v>
      </x:c>
      <x:c r="M572" s="27" t="n">
        <x:v>0.15</x:v>
      </x:c>
      <x:c r="N572" s="26" t="n">
        <x:f>K572*L572</x:f>
        <x:v>17100</x:v>
      </x:c>
      <x:c r="O572" s="26" t="n">
        <x:f>N572*(1-M572)</x:f>
        <x:v>14535</x:v>
      </x:c>
      <x:c r="P572" s="26" t="n">
        <x:v>2267</x:v>
      </x:c>
      <x:c r="Q572" s="26" t="n">
        <x:f>K572*P572</x:f>
        <x:v>13602</x:v>
      </x:c>
      <x:c r="R572" s="26" t="n">
        <x:f>O572-Q572</x:f>
        <x:v>933</x:v>
      </x:c>
      <x:c r="S572" s="28" t="n">
        <x:f>IF(O572=0,0,R572/O572)</x:f>
        <x:v>0.06418988648090815</x:v>
      </x:c>
      <x:c r="T572" s="25" t="str">
        <x:v>Debit Card</x:v>
      </x:c>
      <x:c r="U572" s="25" t="str">
        <x:v>Completed</x:v>
      </x:c>
      <x:c r="V572" s="29" t="n">
        <x:v>4</x:v>
      </x:c>
    </x:row>
    <x:row r="573">
      <x:c r="A573" s="23" t="str">
        <x:v>MAN-2025-00572</x:v>
      </x:c>
      <x:c r="B573" s="24" t="n">
        <x:v>45721</x:v>
      </x:c>
      <x:c r="C573" s="25" t="str">
        <x:v>Mansoura</x:v>
      </x:c>
      <x:c r="D573" s="25" t="str">
        <x:v>Aga</x:v>
      </x:c>
      <x:c r="E573" s="25" t="str">
        <x:v>Aya Farouk</x:v>
      </x:c>
      <x:c r="F573" s="25" t="str">
        <x:v>Ahmed Nasser</x:v>
      </x:c>
      <x:c r="G573" s="25" t="str">
        <x:v>Consumer</x:v>
      </x:c>
      <x:c r="H573" s="25" t="str">
        <x:v>Mobile App</x:v>
      </x:c>
      <x:c r="I573" s="25" t="str">
        <x:v>Furniture</x:v>
      </x:c>
      <x:c r="J573" s="25" t="str">
        <x:v>Sofa</x:v>
      </x:c>
      <x:c r="K573" s="25" t="n">
        <x:v>5</x:v>
      </x:c>
      <x:c r="L573" s="26" t="n">
        <x:v>13793</x:v>
      </x:c>
      <x:c r="M573" s="27" t="n">
        <x:v>0</x:v>
      </x:c>
      <x:c r="N573" s="26" t="n">
        <x:f>K573*L573</x:f>
        <x:v>68965</x:v>
      </x:c>
      <x:c r="O573" s="26" t="n">
        <x:f>N573*(1-M573)</x:f>
        <x:v>68965</x:v>
      </x:c>
      <x:c r="P573" s="26" t="n">
        <x:v>10556</x:v>
      </x:c>
      <x:c r="Q573" s="26" t="n">
        <x:f>K573*P573</x:f>
        <x:v>52780</x:v>
      </x:c>
      <x:c r="R573" s="26" t="n">
        <x:f>O573-Q573</x:f>
        <x:v>16185</x:v>
      </x:c>
      <x:c r="S573" s="28" t="n">
        <x:f>IF(O573=0,0,R573/O573)</x:f>
        <x:v>0.23468426013195098</x:v>
      </x:c>
      <x:c r="T573" s="25" t="str">
        <x:v>Digital Wallet</x:v>
      </x:c>
      <x:c r="U573" s="25" t="str">
        <x:v>Cancelled</x:v>
      </x:c>
      <x:c r="V573" s="29" t="n">
        <x:v>5</x:v>
      </x:c>
    </x:row>
    <x:row r="574">
      <x:c r="A574" s="23" t="str">
        <x:v>MAN-2025-00573</x:v>
      </x:c>
      <x:c r="B574" s="24" t="n">
        <x:v>45746</x:v>
      </x:c>
      <x:c r="C574" s="25" t="str">
        <x:v>Mansoura</x:v>
      </x:c>
      <x:c r="D574" s="25" t="str">
        <x:v>Sherbin</x:v>
      </x:c>
      <x:c r="E574" s="25" t="str">
        <x:v>Salma Mansour</x:v>
      </x:c>
      <x:c r="F574" s="25" t="str">
        <x:v>Farah Ibrahim</x:v>
      </x:c>
      <x:c r="G574" s="25" t="str">
        <x:v>Small Business</x:v>
      </x:c>
      <x:c r="H574" s="25" t="str">
        <x:v>Retail Store</x:v>
      </x:c>
      <x:c r="I574" s="25" t="str">
        <x:v>Furniture</x:v>
      </x:c>
      <x:c r="J574" s="25" t="str">
        <x:v>Bookshelf</x:v>
      </x:c>
      <x:c r="K574" s="25" t="n">
        <x:v>1</x:v>
      </x:c>
      <x:c r="L574" s="26" t="n">
        <x:v>3199</x:v>
      </x:c>
      <x:c r="M574" s="27" t="n">
        <x:v>0.15</x:v>
      </x:c>
      <x:c r="N574" s="26" t="n">
        <x:f>K574*L574</x:f>
        <x:v>3199</x:v>
      </x:c>
      <x:c r="O574" s="26" t="n">
        <x:f>N574*(1-M574)</x:f>
        <x:v>2719.15</x:v>
      </x:c>
      <x:c r="P574" s="26" t="n">
        <x:v>2166</x:v>
      </x:c>
      <x:c r="Q574" s="26" t="n">
        <x:f>K574*P574</x:f>
        <x:v>2166</x:v>
      </x:c>
      <x:c r="R574" s="26" t="n">
        <x:f>O574-Q574</x:f>
        <x:v>553.1500000000001</x:v>
      </x:c>
      <x:c r="S574" s="28" t="n">
        <x:f>IF(O574=0,0,R574/O574)</x:f>
        <x:v>0.203427541695015</x:v>
      </x:c>
      <x:c r="T574" s="25" t="str">
        <x:v>Cash</x:v>
      </x:c>
      <x:c r="U574" s="25" t="str">
        <x:v>Completed</x:v>
      </x:c>
      <x:c r="V574" s="29" t="n">
        <x:v>4</x:v>
      </x:c>
    </x:row>
    <x:row r="575">
      <x:c r="A575" s="23" t="str">
        <x:v>MAN-2025-00574</x:v>
      </x:c>
      <x:c r="B575" s="24" t="n">
        <x:v>45981</x:v>
      </x:c>
      <x:c r="C575" s="25" t="str">
        <x:v>Mansoura</x:v>
      </x:c>
      <x:c r="D575" s="25" t="str">
        <x:v>Sherbin</x:v>
      </x:c>
      <x:c r="E575" s="25" t="str">
        <x:v>Salma Mansour</x:v>
      </x:c>
      <x:c r="F575" s="25" t="str">
        <x:v>Omar Samir</x:v>
      </x:c>
      <x:c r="G575" s="25" t="str">
        <x:v>Corporate</x:v>
      </x:c>
      <x:c r="H575" s="25" t="str">
        <x:v>Retail Store</x:v>
      </x:c>
      <x:c r="I575" s="25" t="str">
        <x:v>Electronics</x:v>
      </x:c>
      <x:c r="J575" s="25" t="str">
        <x:v>Smartphone</x:v>
      </x:c>
      <x:c r="K575" s="25" t="n">
        <x:v>6</x:v>
      </x:c>
      <x:c r="L575" s="26" t="n">
        <x:v>13507</x:v>
      </x:c>
      <x:c r="M575" s="27" t="n">
        <x:v>0.15</x:v>
      </x:c>
      <x:c r="N575" s="26" t="n">
        <x:f>K575*L575</x:f>
        <x:v>81042</x:v>
      </x:c>
      <x:c r="O575" s="26" t="n">
        <x:f>N575*(1-M575)</x:f>
        <x:v>68885.7</x:v>
      </x:c>
      <x:c r="P575" s="26" t="n">
        <x:v>10510</x:v>
      </x:c>
      <x:c r="Q575" s="26" t="n">
        <x:f>K575*P575</x:f>
        <x:v>63060</x:v>
      </x:c>
      <x:c r="R575" s="26" t="n">
        <x:f>O575-Q575</x:f>
        <x:v>5825.699999999997</x:v>
      </x:c>
      <x:c r="S575" s="28" t="n">
        <x:f>IF(O575=0,0,R575/O575)</x:f>
        <x:v>0.08457052770023382</x:v>
      </x:c>
      <x:c r="T575" s="25" t="str">
        <x:v>Cash</x:v>
      </x:c>
      <x:c r="U575" s="25" t="str">
        <x:v>Completed</x:v>
      </x:c>
      <x:c r="V575" s="29" t="n">
        <x:v>4</x:v>
      </x:c>
    </x:row>
    <x:row r="576">
      <x:c r="A576" s="23" t="str">
        <x:v>MAN-2025-00575</x:v>
      </x:c>
      <x:c r="B576" s="24" t="n">
        <x:v>45996</x:v>
      </x:c>
      <x:c r="C576" s="25" t="str">
        <x:v>Mansoura</x:v>
      </x:c>
      <x:c r="D576" s="25" t="str">
        <x:v>Aga</x:v>
      </x:c>
      <x:c r="E576" s="25" t="str">
        <x:v>Youssef Fathy</x:v>
      </x:c>
      <x:c r="F576" s="25" t="str">
        <x:v>Hana Farouk</x:v>
      </x:c>
      <x:c r="G576" s="25" t="str">
        <x:v>Consumer</x:v>
      </x:c>
      <x:c r="H576" s="25" t="str">
        <x:v>Mobile App</x:v>
      </x:c>
      <x:c r="I576" s="25" t="str">
        <x:v>Electronics</x:v>
      </x:c>
      <x:c r="J576" s="25" t="str">
        <x:v>Laptop</x:v>
      </x:c>
      <x:c r="K576" s="25" t="n">
        <x:v>6</x:v>
      </x:c>
      <x:c r="L576" s="26" t="n">
        <x:v>23791</x:v>
      </x:c>
      <x:c r="M576" s="27" t="n">
        <x:v>0.1</x:v>
      </x:c>
      <x:c r="N576" s="26" t="n">
        <x:f>K576*L576</x:f>
        <x:v>142746</x:v>
      </x:c>
      <x:c r="O576" s="26" t="n">
        <x:f>N576*(1-M576)</x:f>
        <x:v>128471.40000000001</x:v>
      </x:c>
      <x:c r="P576" s="26" t="n">
        <x:v>21048</x:v>
      </x:c>
      <x:c r="Q576" s="26" t="n">
        <x:f>K576*P576</x:f>
        <x:v>126288</x:v>
      </x:c>
      <x:c r="R576" s="26" t="n">
        <x:f>O576-Q576</x:f>
        <x:v>2183.4000000000087</x:v>
      </x:c>
      <x:c r="S576" s="28" t="n">
        <x:f>IF(O576=0,0,R576/O576)</x:f>
        <x:v>0.016995222282936193</x:v>
      </x:c>
      <x:c r="T576" s="25" t="str">
        <x:v>Debit Card</x:v>
      </x:c>
      <x:c r="U576" s="25" t="str">
        <x:v>Cancelled</x:v>
      </x:c>
      <x:c r="V576" s="29" t="n">
        <x:v>4</x:v>
      </x:c>
    </x:row>
    <x:row r="577">
      <x:c r="A577" s="23" t="str">
        <x:v>MAN-2025-00576</x:v>
      </x:c>
      <x:c r="B577" s="24" t="n">
        <x:v>45840</x:v>
      </x:c>
      <x:c r="C577" s="25" t="str">
        <x:v>Mansoura</x:v>
      </x:c>
      <x:c r="D577" s="25" t="str">
        <x:v>Mit Ghamr</x:v>
      </x:c>
      <x:c r="E577" s="25" t="str">
        <x:v>Salma Mansour</x:v>
      </x:c>
      <x:c r="F577" s="25" t="str">
        <x:v>Ahmed Sayed</x:v>
      </x:c>
      <x:c r="G577" s="25" t="str">
        <x:v>Consumer</x:v>
      </x:c>
      <x:c r="H577" s="25" t="str">
        <x:v>Phone Order</x:v>
      </x:c>
      <x:c r="I577" s="25" t="str">
        <x:v>Furniture</x:v>
      </x:c>
      <x:c r="J577" s="25" t="str">
        <x:v>Bookshelf</x:v>
      </x:c>
      <x:c r="K577" s="25" t="n">
        <x:v>3</x:v>
      </x:c>
      <x:c r="L577" s="26" t="n">
        <x:v>2828</x:v>
      </x:c>
      <x:c r="M577" s="27" t="n">
        <x:v>0.1</x:v>
      </x:c>
      <x:c r="N577" s="26" t="n">
        <x:f>K577*L577</x:f>
        <x:v>8484</x:v>
      </x:c>
      <x:c r="O577" s="26" t="n">
        <x:f>N577*(1-M577)</x:f>
        <x:v>7635.6</x:v>
      </x:c>
      <x:c r="P577" s="26" t="n">
        <x:v>2161</x:v>
      </x:c>
      <x:c r="Q577" s="26" t="n">
        <x:f>K577*P577</x:f>
        <x:v>6483</x:v>
      </x:c>
      <x:c r="R577" s="26" t="n">
        <x:f>O577-Q577</x:f>
        <x:v>1152.6000000000004</x:v>
      </x:c>
      <x:c r="S577" s="28" t="n">
        <x:f>IF(O577=0,0,R577/O577)</x:f>
        <x:v>0.15095080936665098</x:v>
      </x:c>
      <x:c r="T577" s="25" t="str">
        <x:v>Digital Wallet</x:v>
      </x:c>
      <x:c r="U577" s="25" t="str">
        <x:v>Completed</x:v>
      </x:c>
      <x:c r="V577" s="29" t="n">
        <x:v>4</x:v>
      </x:c>
    </x:row>
    <x:row r="578">
      <x:c r="A578" s="23" t="str">
        <x:v>MAN-2025-00577</x:v>
      </x:c>
      <x:c r="B578" s="24" t="n">
        <x:v>45946</x:v>
      </x:c>
      <x:c r="C578" s="25" t="str">
        <x:v>Mansoura</x:v>
      </x:c>
      <x:c r="D578" s="25" t="str">
        <x:v>Sherbin</x:v>
      </x:c>
      <x:c r="E578" s="25" t="str">
        <x:v>Aya Farouk</x:v>
      </x:c>
      <x:c r="F578" s="25" t="str">
        <x:v>Ali Adel</x:v>
      </x:c>
      <x:c r="G578" s="25" t="str">
        <x:v>Corporate</x:v>
      </x:c>
      <x:c r="H578" s="25" t="str">
        <x:v>Mobile App</x:v>
      </x:c>
      <x:c r="I578" s="25" t="str">
        <x:v>Office Supplies</x:v>
      </x:c>
      <x:c r="J578" s="25" t="str">
        <x:v>Calculator</x:v>
      </x:c>
      <x:c r="K578" s="25" t="n">
        <x:v>5</x:v>
      </x:c>
      <x:c r="L578" s="26" t="n">
        <x:v>436</x:v>
      </x:c>
      <x:c r="M578" s="27" t="n">
        <x:v>0</x:v>
      </x:c>
      <x:c r="N578" s="26" t="n">
        <x:f>K578*L578</x:f>
        <x:v>2180</x:v>
      </x:c>
      <x:c r="O578" s="26" t="n">
        <x:f>N578*(1-M578)</x:f>
        <x:v>2180</x:v>
      </x:c>
      <x:c r="P578" s="26" t="n">
        <x:v>279</x:v>
      </x:c>
      <x:c r="Q578" s="26" t="n">
        <x:f>K578*P578</x:f>
        <x:v>1395</x:v>
      </x:c>
      <x:c r="R578" s="26" t="n">
        <x:f>O578-Q578</x:f>
        <x:v>785</x:v>
      </x:c>
      <x:c r="S578" s="28" t="n">
        <x:f>IF(O578=0,0,R578/O578)</x:f>
        <x:v>0.36009174311926606</x:v>
      </x:c>
      <x:c r="T578" s="25" t="str">
        <x:v>Debit Card</x:v>
      </x:c>
      <x:c r="U578" s="25" t="str">
        <x:v>Completed</x:v>
      </x:c>
      <x:c r="V578" s="29" t="n">
        <x:v>4</x:v>
      </x:c>
    </x:row>
    <x:row r="579">
      <x:c r="A579" s="23" t="str">
        <x:v>MAN-2025-00578</x:v>
      </x:c>
      <x:c r="B579" s="24" t="n">
        <x:v>45993</x:v>
      </x:c>
      <x:c r="C579" s="25" t="str">
        <x:v>Mansoura</x:v>
      </x:c>
      <x:c r="D579" s="25" t="str">
        <x:v>Aga</x:v>
      </x:c>
      <x:c r="E579" s="25" t="str">
        <x:v>Ali Sayed</x:v>
      </x:c>
      <x:c r="F579" s="25" t="str">
        <x:v>Karim Ibrahim</x:v>
      </x:c>
      <x:c r="G579" s="25" t="str">
        <x:v>Consumer</x:v>
      </x:c>
      <x:c r="H579" s="25" t="str">
        <x:v>Retail Store</x:v>
      </x:c>
      <x:c r="I579" s="25" t="str">
        <x:v>Electronics</x:v>
      </x:c>
      <x:c r="J579" s="25" t="str">
        <x:v>Smartphone</x:v>
      </x:c>
      <x:c r="K579" s="25" t="n">
        <x:v>1</x:v>
      </x:c>
      <x:c r="L579" s="26" t="n">
        <x:v>13765</x:v>
      </x:c>
      <x:c r="M579" s="27" t="n">
        <x:v>0</x:v>
      </x:c>
      <x:c r="N579" s="26" t="n">
        <x:f>K579*L579</x:f>
        <x:v>13765</x:v>
      </x:c>
      <x:c r="O579" s="26" t="n">
        <x:f>N579*(1-M579)</x:f>
        <x:v>13765</x:v>
      </x:c>
      <x:c r="P579" s="26" t="n">
        <x:v>10536</x:v>
      </x:c>
      <x:c r="Q579" s="26" t="n">
        <x:f>K579*P579</x:f>
        <x:v>10536</x:v>
      </x:c>
      <x:c r="R579" s="26" t="n">
        <x:f>O579-Q579</x:f>
        <x:v>3229</x:v>
      </x:c>
      <x:c r="S579" s="28" t="n">
        <x:f>IF(O579=0,0,R579/O579)</x:f>
        <x:v>0.23458045768252814</x:v>
      </x:c>
      <x:c r="T579" s="25" t="str">
        <x:v>Debit Card</x:v>
      </x:c>
      <x:c r="U579" s="25" t="str">
        <x:v>Completed</x:v>
      </x:c>
      <x:c r="V579" s="29" t="n">
        <x:v>4</x:v>
      </x:c>
    </x:row>
    <x:row r="580">
      <x:c r="A580" s="23" t="str">
        <x:v>MAN-2025-00579</x:v>
      </x:c>
      <x:c r="B580" s="24" t="n">
        <x:v>45868</x:v>
      </x:c>
      <x:c r="C580" s="25" t="str">
        <x:v>Mansoura</x:v>
      </x:c>
      <x:c r="D580" s="25" t="str">
        <x:v>Mansoura City</x:v>
      </x:c>
      <x:c r="E580" s="25" t="str">
        <x:v>Salma Mansour</x:v>
      </x:c>
      <x:c r="F580" s="25" t="str">
        <x:v>Ahmed Fathy</x:v>
      </x:c>
      <x:c r="G580" s="25" t="str">
        <x:v>Small Business</x:v>
      </x:c>
      <x:c r="H580" s="25" t="str">
        <x:v>Mobile App</x:v>
      </x:c>
      <x:c r="I580" s="25" t="str">
        <x:v>Office Supplies</x:v>
      </x:c>
      <x:c r="J580" s="25" t="str">
        <x:v>Paper Box</x:v>
      </x:c>
      <x:c r="K580" s="25" t="n">
        <x:v>5</x:v>
      </x:c>
      <x:c r="L580" s="26" t="n">
        <x:v>357</x:v>
      </x:c>
      <x:c r="M580" s="27" t="n">
        <x:v>0.1</x:v>
      </x:c>
      <x:c r="N580" s="26" t="n">
        <x:f>K580*L580</x:f>
        <x:v>1785</x:v>
      </x:c>
      <x:c r="O580" s="26" t="n">
        <x:f>N580*(1-M580)</x:f>
        <x:v>1606.5</x:v>
      </x:c>
      <x:c r="P580" s="26" t="n">
        <x:v>258</x:v>
      </x:c>
      <x:c r="Q580" s="26" t="n">
        <x:f>K580*P580</x:f>
        <x:v>1290</x:v>
      </x:c>
      <x:c r="R580" s="26" t="n">
        <x:f>O580-Q580</x:f>
        <x:v>316.5</x:v>
      </x:c>
      <x:c r="S580" s="28" t="n">
        <x:f>IF(O580=0,0,R580/O580)</x:f>
        <x:v>0.19701213818860877</x:v>
      </x:c>
      <x:c r="T580" s="25" t="str">
        <x:v>Cash</x:v>
      </x:c>
      <x:c r="U580" s="25" t="str">
        <x:v>Returned</x:v>
      </x:c>
      <x:c r="V580" s="29" t="n">
        <x:v>4</x:v>
      </x:c>
    </x:row>
    <x:row r="581">
      <x:c r="A581" s="23" t="str">
        <x:v>MAN-2025-00580</x:v>
      </x:c>
      <x:c r="B581" s="24" t="n">
        <x:v>45957</x:v>
      </x:c>
      <x:c r="C581" s="25" t="str">
        <x:v>Mansoura</x:v>
      </x:c>
      <x:c r="D581" s="25" t="str">
        <x:v>Aga</x:v>
      </x:c>
      <x:c r="E581" s="25" t="str">
        <x:v>Salma Mansour</x:v>
      </x:c>
      <x:c r="F581" s="25" t="str">
        <x:v>Mahmoud Hassan</x:v>
      </x:c>
      <x:c r="G581" s="25" t="str">
        <x:v>Corporate</x:v>
      </x:c>
      <x:c r="H581" s="25" t="str">
        <x:v>Phone Order</x:v>
      </x:c>
      <x:c r="I581" s="25" t="str">
        <x:v>Electronics</x:v>
      </x:c>
      <x:c r="J581" s="25" t="str">
        <x:v>Headphones</x:v>
      </x:c>
      <x:c r="K581" s="25" t="n">
        <x:v>3</x:v>
      </x:c>
      <x:c r="L581" s="26" t="n">
        <x:v>1746</x:v>
      </x:c>
      <x:c r="M581" s="27" t="n">
        <x:v>0</x:v>
      </x:c>
      <x:c r="N581" s="26" t="n">
        <x:f>K581*L581</x:f>
        <x:v>5238</x:v>
      </x:c>
      <x:c r="O581" s="26" t="n">
        <x:f>N581*(1-M581)</x:f>
        <x:v>5238</x:v>
      </x:c>
      <x:c r="P581" s="26" t="n">
        <x:v>1088</x:v>
      </x:c>
      <x:c r="Q581" s="26" t="n">
        <x:f>K581*P581</x:f>
        <x:v>3264</x:v>
      </x:c>
      <x:c r="R581" s="26" t="n">
        <x:f>O581-Q581</x:f>
        <x:v>1974</x:v>
      </x:c>
      <x:c r="S581" s="28" t="n">
        <x:f>IF(O581=0,0,R581/O581)</x:f>
        <x:v>0.3768613974799542</x:v>
      </x:c>
      <x:c r="T581" s="25" t="str">
        <x:v>Debit Card</x:v>
      </x:c>
      <x:c r="U581" s="25" t="str">
        <x:v>Completed</x:v>
      </x:c>
      <x:c r="V581" s="29" t="n">
        <x:v>3</x:v>
      </x:c>
    </x:row>
    <x:row r="582">
      <x:c r="A582" s="23" t="str">
        <x:v>MAN-2025-00581</x:v>
      </x:c>
      <x:c r="B582" s="24" t="n">
        <x:v>45674</x:v>
      </x:c>
      <x:c r="C582" s="25" t="str">
        <x:v>Mansoura</x:v>
      </x:c>
      <x:c r="D582" s="25" t="str">
        <x:v>Talkha</x:v>
      </x:c>
      <x:c r="E582" s="25" t="str">
        <x:v>Aya Farouk</x:v>
      </x:c>
      <x:c r="F582" s="25" t="str">
        <x:v>Mohamed Adel</x:v>
      </x:c>
      <x:c r="G582" s="25" t="str">
        <x:v>Corporate</x:v>
      </x:c>
      <x:c r="H582" s="25" t="str">
        <x:v>Retail Store</x:v>
      </x:c>
      <x:c r="I582" s="25" t="str">
        <x:v>Electronics</x:v>
      </x:c>
      <x:c r="J582" s="25" t="str">
        <x:v>Smartphone</x:v>
      </x:c>
      <x:c r="K582" s="25" t="n">
        <x:v>4</x:v>
      </x:c>
      <x:c r="L582" s="26" t="n">
        <x:v>12298</x:v>
      </x:c>
      <x:c r="M582" s="27" t="n">
        <x:v>0.05</x:v>
      </x:c>
      <x:c r="N582" s="26" t="n">
        <x:f>K582*L582</x:f>
        <x:v>49192</x:v>
      </x:c>
      <x:c r="O582" s="26" t="n">
        <x:f>N582*(1-M582)</x:f>
        <x:v>46732.399999999994</x:v>
      </x:c>
      <x:c r="P582" s="26" t="n">
        <x:v>11162</x:v>
      </x:c>
      <x:c r="Q582" s="26" t="n">
        <x:f>K582*P582</x:f>
        <x:v>44648</x:v>
      </x:c>
      <x:c r="R582" s="26" t="n">
        <x:f>O582-Q582</x:f>
        <x:v>2084.399999999994</x:v>
      </x:c>
      <x:c r="S582" s="28" t="n">
        <x:f>IF(O582=0,0,R582/O582)</x:f>
        <x:v>0.04460288793214118</x:v>
      </x:c>
      <x:c r="T582" s="25" t="str">
        <x:v>Digital Wallet</x:v>
      </x:c>
      <x:c r="U582" s="25" t="str">
        <x:v>Cancelled</x:v>
      </x:c>
      <x:c r="V582" s="29" t="n">
        <x:v>5</x:v>
      </x:c>
    </x:row>
    <x:row r="583">
      <x:c r="A583" s="23" t="str">
        <x:v>MAN-2025-00582</x:v>
      </x:c>
      <x:c r="B583" s="24" t="n">
        <x:v>45814</x:v>
      </x:c>
      <x:c r="C583" s="25" t="str">
        <x:v>Mansoura</x:v>
      </x:c>
      <x:c r="D583" s="25" t="str">
        <x:v>Mit Ghamr</x:v>
      </x:c>
      <x:c r="E583" s="25" t="str">
        <x:v>Ali Sayed</x:v>
      </x:c>
      <x:c r="F583" s="25" t="str">
        <x:v>Ali Samir</x:v>
      </x:c>
      <x:c r="G583" s="25" t="str">
        <x:v>Consumer</x:v>
      </x:c>
      <x:c r="H583" s="25" t="str">
        <x:v>Mobile App</x:v>
      </x:c>
      <x:c r="I583" s="25" t="str">
        <x:v>Electronics</x:v>
      </x:c>
      <x:c r="J583" s="25" t="str">
        <x:v>Headphones</x:v>
      </x:c>
      <x:c r="K583" s="25" t="n">
        <x:v>6</x:v>
      </x:c>
      <x:c r="L583" s="26" t="n">
        <x:v>1760</x:v>
      </x:c>
      <x:c r="M583" s="27" t="n">
        <x:v>0.15</x:v>
      </x:c>
      <x:c r="N583" s="26" t="n">
        <x:f>K583*L583</x:f>
        <x:v>10560</x:v>
      </x:c>
      <x:c r="O583" s="26" t="n">
        <x:f>N583*(1-M583)</x:f>
        <x:v>8976</x:v>
      </x:c>
      <x:c r="P583" s="26" t="n">
        <x:v>1101</x:v>
      </x:c>
      <x:c r="Q583" s="26" t="n">
        <x:f>K583*P583</x:f>
        <x:v>6606</x:v>
      </x:c>
      <x:c r="R583" s="26" t="n">
        <x:f>O583-Q583</x:f>
        <x:v>2370</x:v>
      </x:c>
      <x:c r="S583" s="28" t="n">
        <x:f>IF(O583=0,0,R583/O583)</x:f>
        <x:v>0.2640374331550802</x:v>
      </x:c>
      <x:c r="T583" s="25" t="str">
        <x:v>Bank Transfer</x:v>
      </x:c>
      <x:c r="U583" s="25" t="str">
        <x:v>Completed</x:v>
      </x:c>
      <x:c r="V583" s="29" t="n">
        <x:v>4</x:v>
      </x:c>
    </x:row>
    <x:row r="584">
      <x:c r="A584" s="23" t="str">
        <x:v>MAN-2025-00583</x:v>
      </x:c>
      <x:c r="B584" s="24" t="n">
        <x:v>45762</x:v>
      </x:c>
      <x:c r="C584" s="25" t="str">
        <x:v>Mansoura</x:v>
      </x:c>
      <x:c r="D584" s="25" t="str">
        <x:v>Sherbin</x:v>
      </x:c>
      <x:c r="E584" s="25" t="str">
        <x:v>Aya Farouk</x:v>
      </x:c>
      <x:c r="F584" s="25" t="str">
        <x:v>Amr Sayed</x:v>
      </x:c>
      <x:c r="G584" s="25" t="str">
        <x:v>Consumer</x:v>
      </x:c>
      <x:c r="H584" s="25" t="str">
        <x:v>Phone Order</x:v>
      </x:c>
      <x:c r="I584" s="25" t="str">
        <x:v>Home Appliances</x:v>
      </x:c>
      <x:c r="J584" s="25" t="str">
        <x:v>Air Conditioner</x:v>
      </x:c>
      <x:c r="K584" s="25" t="n">
        <x:v>2</x:v>
      </x:c>
      <x:c r="L584" s="26" t="n">
        <x:v>20291</x:v>
      </x:c>
      <x:c r="M584" s="27" t="n">
        <x:v>0.1</x:v>
      </x:c>
      <x:c r="N584" s="26" t="n">
        <x:f>K584*L584</x:f>
        <x:v>40582</x:v>
      </x:c>
      <x:c r="O584" s="26" t="n">
        <x:f>N584*(1-M584)</x:f>
        <x:v>36523.8</x:v>
      </x:c>
      <x:c r="P584" s="26" t="n">
        <x:v>17288</x:v>
      </x:c>
      <x:c r="Q584" s="26" t="n">
        <x:f>K584*P584</x:f>
        <x:v>34576</x:v>
      </x:c>
      <x:c r="R584" s="26" t="n">
        <x:f>O584-Q584</x:f>
        <x:v>1947.800000000003</x:v>
      </x:c>
      <x:c r="S584" s="28" t="n">
        <x:f>IF(O584=0,0,R584/O584)</x:f>
        <x:v>0.053329609733926996</x:v>
      </x:c>
      <x:c r="T584" s="25" t="str">
        <x:v>Credit Card</x:v>
      </x:c>
      <x:c r="U584" s="25" t="str">
        <x:v>Completed</x:v>
      </x:c>
      <x:c r="V584" s="29" t="n">
        <x:v>4</x:v>
      </x:c>
    </x:row>
    <x:row r="585">
      <x:c r="A585" s="23" t="str">
        <x:v>MAN-2025-00584</x:v>
      </x:c>
      <x:c r="B585" s="24" t="n">
        <x:v>45859</x:v>
      </x:c>
      <x:c r="C585" s="25" t="str">
        <x:v>Mansoura</x:v>
      </x:c>
      <x:c r="D585" s="25" t="str">
        <x:v>Talkha</x:v>
      </x:c>
      <x:c r="E585" s="25" t="str">
        <x:v>Ali Sayed</x:v>
      </x:c>
      <x:c r="F585" s="25" t="str">
        <x:v>Mariam Tarek</x:v>
      </x:c>
      <x:c r="G585" s="25" t="str">
        <x:v>Consumer</x:v>
      </x:c>
      <x:c r="H585" s="25" t="str">
        <x:v>Website</x:v>
      </x:c>
      <x:c r="I585" s="25" t="str">
        <x:v>Office Supplies</x:v>
      </x:c>
      <x:c r="J585" s="25" t="str">
        <x:v>Printer</x:v>
      </x:c>
      <x:c r="K585" s="25" t="n">
        <x:v>6</x:v>
      </x:c>
      <x:c r="L585" s="26" t="n">
        <x:v>6419</x:v>
      </x:c>
      <x:c r="M585" s="27" t="n">
        <x:v>0</x:v>
      </x:c>
      <x:c r="N585" s="26" t="n">
        <x:f>K585*L585</x:f>
        <x:v>38514</x:v>
      </x:c>
      <x:c r="O585" s="26" t="n">
        <x:f>N585*(1-M585)</x:f>
        <x:v>38514</x:v>
      </x:c>
      <x:c r="P585" s="26" t="n">
        <x:v>5543</x:v>
      </x:c>
      <x:c r="Q585" s="26" t="n">
        <x:f>K585*P585</x:f>
        <x:v>33258</x:v>
      </x:c>
      <x:c r="R585" s="26" t="n">
        <x:f>O585-Q585</x:f>
        <x:v>5256</x:v>
      </x:c>
      <x:c r="S585" s="28" t="n">
        <x:f>IF(O585=0,0,R585/O585)</x:f>
        <x:v>0.13646985511761955</x:v>
      </x:c>
      <x:c r="T585" s="25" t="str">
        <x:v>Bank Transfer</x:v>
      </x:c>
      <x:c r="U585" s="25" t="str">
        <x:v>Completed</x:v>
      </x:c>
      <x:c r="V585" s="29" t="n">
        <x:v>5</x:v>
      </x:c>
    </x:row>
    <x:row r="586">
      <x:c r="A586" s="23" t="str">
        <x:v>MAN-2025-00585</x:v>
      </x:c>
      <x:c r="B586" s="24" t="n">
        <x:v>45951</x:v>
      </x:c>
      <x:c r="C586" s="25" t="str">
        <x:v>Mansoura</x:v>
      </x:c>
      <x:c r="D586" s="25" t="str">
        <x:v>Aga</x:v>
      </x:c>
      <x:c r="E586" s="25" t="str">
        <x:v>Aya Farouk</x:v>
      </x:c>
      <x:c r="F586" s="25" t="str">
        <x:v>Ali Hassan</x:v>
      </x:c>
      <x:c r="G586" s="25" t="str">
        <x:v>Consumer</x:v>
      </x:c>
      <x:c r="H586" s="25" t="str">
        <x:v>Retail Store</x:v>
      </x:c>
      <x:c r="I586" s="25" t="str">
        <x:v>Electronics</x:v>
      </x:c>
      <x:c r="J586" s="25" t="str">
        <x:v>Smartphone</x:v>
      </x:c>
      <x:c r="K586" s="25" t="n">
        <x:v>4</x:v>
      </x:c>
      <x:c r="L586" s="26" t="n">
        <x:v>13635</x:v>
      </x:c>
      <x:c r="M586" s="27" t="n">
        <x:v>0.1</x:v>
      </x:c>
      <x:c r="N586" s="26" t="n">
        <x:f>K586*L586</x:f>
        <x:v>54540</x:v>
      </x:c>
      <x:c r="O586" s="26" t="n">
        <x:f>N586*(1-M586)</x:f>
        <x:v>49086</x:v>
      </x:c>
      <x:c r="P586" s="26" t="n">
        <x:v>10937</x:v>
      </x:c>
      <x:c r="Q586" s="26" t="n">
        <x:f>K586*P586</x:f>
        <x:v>43748</x:v>
      </x:c>
      <x:c r="R586" s="26" t="n">
        <x:f>O586-Q586</x:f>
        <x:v>5338</x:v>
      </x:c>
      <x:c r="S586" s="28" t="n">
        <x:f>IF(O586=0,0,R586/O586)</x:f>
        <x:v>0.10874791182821986</x:v>
      </x:c>
      <x:c r="T586" s="25" t="str">
        <x:v>Digital Wallet</x:v>
      </x:c>
      <x:c r="U586" s="25" t="str">
        <x:v>Returned</x:v>
      </x:c>
      <x:c r="V586" s="29" t="n">
        <x:v>4</x:v>
      </x:c>
    </x:row>
    <x:row r="587">
      <x:c r="A587" s="23" t="str">
        <x:v>MAN-2025-00586</x:v>
      </x:c>
      <x:c r="B587" s="24" t="n">
        <x:v>45781</x:v>
      </x:c>
      <x:c r="C587" s="25" t="str">
        <x:v>Mansoura</x:v>
      </x:c>
      <x:c r="D587" s="25" t="str">
        <x:v>Mit Ghamr</x:v>
      </x:c>
      <x:c r="E587" s="25" t="str">
        <x:v>Salma Mansour</x:v>
      </x:c>
      <x:c r="F587" s="25" t="str">
        <x:v>Ahmed Tarek</x:v>
      </x:c>
      <x:c r="G587" s="25" t="str">
        <x:v>Consumer</x:v>
      </x:c>
      <x:c r="H587" s="25" t="str">
        <x:v>Retail Store</x:v>
      </x:c>
      <x:c r="I587" s="25" t="str">
        <x:v>Furniture</x:v>
      </x:c>
      <x:c r="J587" s="25" t="str">
        <x:v>Bookshelf</x:v>
      </x:c>
      <x:c r="K587" s="25" t="n">
        <x:v>5</x:v>
      </x:c>
      <x:c r="L587" s="26" t="n">
        <x:v>2962</x:v>
      </x:c>
      <x:c r="M587" s="27" t="n">
        <x:v>0.1</x:v>
      </x:c>
      <x:c r="N587" s="26" t="n">
        <x:f>K587*L587</x:f>
        <x:v>14810</x:v>
      </x:c>
      <x:c r="O587" s="26" t="n">
        <x:f>N587*(1-M587)</x:f>
        <x:v>13329</x:v>
      </x:c>
      <x:c r="P587" s="26" t="n">
        <x:v>2267</x:v>
      </x:c>
      <x:c r="Q587" s="26" t="n">
        <x:f>K587*P587</x:f>
        <x:v>11335</x:v>
      </x:c>
      <x:c r="R587" s="26" t="n">
        <x:f>O587-Q587</x:f>
        <x:v>1994</x:v>
      </x:c>
      <x:c r="S587" s="28" t="n">
        <x:f>IF(O587=0,0,R587/O587)</x:f>
        <x:v>0.1495986195513542</x:v>
      </x:c>
      <x:c r="T587" s="25" t="str">
        <x:v>Bank Transfer</x:v>
      </x:c>
      <x:c r="U587" s="25" t="str">
        <x:v>Returned</x:v>
      </x:c>
      <x:c r="V587" s="29" t="n">
        <x:v>4</x:v>
      </x:c>
    </x:row>
    <x:row r="588">
      <x:c r="A588" s="23" t="str">
        <x:v>MAN-2025-00587</x:v>
      </x:c>
      <x:c r="B588" s="24" t="n">
        <x:v>45833</x:v>
      </x:c>
      <x:c r="C588" s="25" t="str">
        <x:v>Mansoura</x:v>
      </x:c>
      <x:c r="D588" s="25" t="str">
        <x:v>Aga</x:v>
      </x:c>
      <x:c r="E588" s="25" t="str">
        <x:v>Salma Mansour</x:v>
      </x:c>
      <x:c r="F588" s="25" t="str">
        <x:v>Mohamed Farouk</x:v>
      </x:c>
      <x:c r="G588" s="25" t="str">
        <x:v>Small Business</x:v>
      </x:c>
      <x:c r="H588" s="25" t="str">
        <x:v>Mobile App</x:v>
      </x:c>
      <x:c r="I588" s="25" t="str">
        <x:v>Home Appliances</x:v>
      </x:c>
      <x:c r="J588" s="25" t="str">
        <x:v>Air Conditioner</x:v>
      </x:c>
      <x:c r="K588" s="25" t="n">
        <x:v>6</x:v>
      </x:c>
      <x:c r="L588" s="26" t="n">
        <x:v>19971</x:v>
      </x:c>
      <x:c r="M588" s="27" t="n">
        <x:v>0</x:v>
      </x:c>
      <x:c r="N588" s="26" t="n">
        <x:f>K588*L588</x:f>
        <x:v>119826</x:v>
      </x:c>
      <x:c r="O588" s="26" t="n">
        <x:f>N588*(1-M588)</x:f>
        <x:v>119826</x:v>
      </x:c>
      <x:c r="P588" s="26" t="n">
        <x:v>18120</x:v>
      </x:c>
      <x:c r="Q588" s="26" t="n">
        <x:f>K588*P588</x:f>
        <x:v>108720</x:v>
      </x:c>
      <x:c r="R588" s="26" t="n">
        <x:f>O588-Q588</x:f>
        <x:v>11106</x:v>
      </x:c>
      <x:c r="S588" s="28" t="n">
        <x:f>IF(O588=0,0,R588/O588)</x:f>
        <x:v>0.09268439236893496</x:v>
      </x:c>
      <x:c r="T588" s="25" t="str">
        <x:v>Bank Transfer</x:v>
      </x:c>
      <x:c r="U588" s="25" t="str">
        <x:v>Cancelled</x:v>
      </x:c>
      <x:c r="V588" s="29" t="n">
        <x:v>5</x:v>
      </x:c>
    </x:row>
    <x:row r="589">
      <x:c r="A589" s="23" t="str">
        <x:v>MAN-2025-00588</x:v>
      </x:c>
      <x:c r="B589" s="24" t="n">
        <x:v>45996</x:v>
      </x:c>
      <x:c r="C589" s="25" t="str">
        <x:v>Mansoura</x:v>
      </x:c>
      <x:c r="D589" s="25" t="str">
        <x:v>Mansoura City</x:v>
      </x:c>
      <x:c r="E589" s="25" t="str">
        <x:v>Aya Farouk</x:v>
      </x:c>
      <x:c r="F589" s="25" t="str">
        <x:v>Mariam Mansour</x:v>
      </x:c>
      <x:c r="G589" s="25" t="str">
        <x:v>Corporate</x:v>
      </x:c>
      <x:c r="H589" s="25" t="str">
        <x:v>Retail Store</x:v>
      </x:c>
      <x:c r="I589" s="25" t="str">
        <x:v>Home Appliances</x:v>
      </x:c>
      <x:c r="J589" s="25" t="str">
        <x:v>Washing Machine</x:v>
      </x:c>
      <x:c r="K589" s="25" t="n">
        <x:v>2</x:v>
      </x:c>
      <x:c r="L589" s="26" t="n">
        <x:v>15850</x:v>
      </x:c>
      <x:c r="M589" s="27" t="n">
        <x:v>0.05</x:v>
      </x:c>
      <x:c r="N589" s="26" t="n">
        <x:f>K589*L589</x:f>
        <x:v>31700</x:v>
      </x:c>
      <x:c r="O589" s="26" t="n">
        <x:f>N589*(1-M589)</x:f>
        <x:v>30115</x:v>
      </x:c>
      <x:c r="P589" s="26" t="n">
        <x:v>14147</x:v>
      </x:c>
      <x:c r="Q589" s="26" t="n">
        <x:f>K589*P589</x:f>
        <x:v>28294</x:v>
      </x:c>
      <x:c r="R589" s="26" t="n">
        <x:f>O589-Q589</x:f>
        <x:v>1821</x:v>
      </x:c>
      <x:c r="S589" s="28" t="n">
        <x:f>IF(O589=0,0,R589/O589)</x:f>
        <x:v>0.06046820521334883</x:v>
      </x:c>
      <x:c r="T589" s="25" t="str">
        <x:v>Bank Transfer</x:v>
      </x:c>
      <x:c r="U589" s="25" t="str">
        <x:v>Returned</x:v>
      </x:c>
      <x:c r="V589" s="29" t="n">
        <x:v>5</x:v>
      </x:c>
    </x:row>
    <x:row r="590">
      <x:c r="A590" s="23" t="str">
        <x:v>MAN-2025-00589</x:v>
      </x:c>
      <x:c r="B590" s="24" t="n">
        <x:v>45826</x:v>
      </x:c>
      <x:c r="C590" s="25" t="str">
        <x:v>Mansoura</x:v>
      </x:c>
      <x:c r="D590" s="25" t="str">
        <x:v>Sherbin</x:v>
      </x:c>
      <x:c r="E590" s="25" t="str">
        <x:v>Youssef Fathy</x:v>
      </x:c>
      <x:c r="F590" s="25" t="str">
        <x:v>Amr Samir</x:v>
      </x:c>
      <x:c r="G590" s="25" t="str">
        <x:v>Consumer</x:v>
      </x:c>
      <x:c r="H590" s="25" t="str">
        <x:v>Retail Store</x:v>
      </x:c>
      <x:c r="I590" s="25" t="str">
        <x:v>Office Supplies</x:v>
      </x:c>
      <x:c r="J590" s="25" t="str">
        <x:v>Ink Cartridge</x:v>
      </x:c>
      <x:c r="K590" s="25" t="n">
        <x:v>6</x:v>
      </x:c>
      <x:c r="L590" s="26" t="n">
        <x:v>830</x:v>
      </x:c>
      <x:c r="M590" s="27" t="n">
        <x:v>0.1</x:v>
      </x:c>
      <x:c r="N590" s="26" t="n">
        <x:f>K590*L590</x:f>
        <x:v>4980</x:v>
      </x:c>
      <x:c r="O590" s="26" t="n">
        <x:f>N590*(1-M590)</x:f>
        <x:v>4482</x:v>
      </x:c>
      <x:c r="P590" s="26" t="n">
        <x:v>572</x:v>
      </x:c>
      <x:c r="Q590" s="26" t="n">
        <x:f>K590*P590</x:f>
        <x:v>3432</x:v>
      </x:c>
      <x:c r="R590" s="26" t="n">
        <x:f>O590-Q590</x:f>
        <x:v>1050</x:v>
      </x:c>
      <x:c r="S590" s="28" t="n">
        <x:f>IF(O590=0,0,R590/O590)</x:f>
        <x:v>0.23427041499330656</x:v>
      </x:c>
      <x:c r="T590" s="25" t="str">
        <x:v>Debit Card</x:v>
      </x:c>
      <x:c r="U590" s="25" t="str">
        <x:v>Completed</x:v>
      </x:c>
      <x:c r="V590" s="29" t="n">
        <x:v>5</x:v>
      </x:c>
    </x:row>
    <x:row r="591">
      <x:c r="A591" s="23" t="str">
        <x:v>MAN-2025-00590</x:v>
      </x:c>
      <x:c r="B591" s="24" t="n">
        <x:v>45726</x:v>
      </x:c>
      <x:c r="C591" s="25" t="str">
        <x:v>Mansoura</x:v>
      </x:c>
      <x:c r="D591" s="25" t="str">
        <x:v>Aga</x:v>
      </x:c>
      <x:c r="E591" s="25" t="str">
        <x:v>Aya Farouk</x:v>
      </x:c>
      <x:c r="F591" s="25" t="str">
        <x:v>Karim Tarek</x:v>
      </x:c>
      <x:c r="G591" s="25" t="str">
        <x:v>Corporate</x:v>
      </x:c>
      <x:c r="H591" s="25" t="str">
        <x:v>Mobile App</x:v>
      </x:c>
      <x:c r="I591" s="25" t="str">
        <x:v>Office Supplies</x:v>
      </x:c>
      <x:c r="J591" s="25" t="str">
        <x:v>Paper Box</x:v>
      </x:c>
      <x:c r="K591" s="25" t="n">
        <x:v>1</x:v>
      </x:c>
      <x:c r="L591" s="26" t="n">
        <x:v>387</x:v>
      </x:c>
      <x:c r="M591" s="27" t="n">
        <x:v>0.1</x:v>
      </x:c>
      <x:c r="N591" s="26" t="n">
        <x:f>K591*L591</x:f>
        <x:v>387</x:v>
      </x:c>
      <x:c r="O591" s="26" t="n">
        <x:f>N591*(1-M591)</x:f>
        <x:v>348.3</x:v>
      </x:c>
      <x:c r="P591" s="26" t="n">
        <x:v>262</x:v>
      </x:c>
      <x:c r="Q591" s="26" t="n">
        <x:f>K591*P591</x:f>
        <x:v>262</x:v>
      </x:c>
      <x:c r="R591" s="26" t="n">
        <x:f>O591-Q591</x:f>
        <x:v>86.30000000000001</x:v>
      </x:c>
      <x:c r="S591" s="28" t="n">
        <x:f>IF(O591=0,0,R591/O591)</x:f>
        <x:v>0.2477749066896354</x:v>
      </x:c>
      <x:c r="T591" s="25" t="str">
        <x:v>Cash</x:v>
      </x:c>
      <x:c r="U591" s="25" t="str">
        <x:v>Cancelled</x:v>
      </x:c>
      <x:c r="V591" s="29" t="n">
        <x:v>4</x:v>
      </x:c>
    </x:row>
    <x:row r="592">
      <x:c r="A592" s="23" t="str">
        <x:v>MAN-2025-00591</x:v>
      </x:c>
      <x:c r="B592" s="24" t="n">
        <x:v>46001</x:v>
      </x:c>
      <x:c r="C592" s="25" t="str">
        <x:v>Mansoura</x:v>
      </x:c>
      <x:c r="D592" s="25" t="str">
        <x:v>Sherbin</x:v>
      </x:c>
      <x:c r="E592" s="25" t="str">
        <x:v>Youssef Fathy</x:v>
      </x:c>
      <x:c r="F592" s="25" t="str">
        <x:v>Youssef Tarek</x:v>
      </x:c>
      <x:c r="G592" s="25" t="str">
        <x:v>Corporate</x:v>
      </x:c>
      <x:c r="H592" s="25" t="str">
        <x:v>Phone Order</x:v>
      </x:c>
      <x:c r="I592" s="25" t="str">
        <x:v>Office Supplies</x:v>
      </x:c>
      <x:c r="J592" s="25" t="str">
        <x:v>Printer</x:v>
      </x:c>
      <x:c r="K592" s="25" t="n">
        <x:v>5</x:v>
      </x:c>
      <x:c r="L592" s="26" t="n">
        <x:v>6646</x:v>
      </x:c>
      <x:c r="M592" s="27" t="n">
        <x:v>0</x:v>
      </x:c>
      <x:c r="N592" s="26" t="n">
        <x:f>K592*L592</x:f>
        <x:v>33230</x:v>
      </x:c>
      <x:c r="O592" s="26" t="n">
        <x:f>N592*(1-M592)</x:f>
        <x:v>33230</x:v>
      </x:c>
      <x:c r="P592" s="26" t="n">
        <x:v>5416</x:v>
      </x:c>
      <x:c r="Q592" s="26" t="n">
        <x:f>K592*P592</x:f>
        <x:v>27080</x:v>
      </x:c>
      <x:c r="R592" s="26" t="n">
        <x:f>O592-Q592</x:f>
        <x:v>6150</x:v>
      </x:c>
      <x:c r="S592" s="28" t="n">
        <x:f>IF(O592=0,0,R592/O592)</x:f>
        <x:v>0.18507372855853144</x:v>
      </x:c>
      <x:c r="T592" s="25" t="str">
        <x:v>Bank Transfer</x:v>
      </x:c>
      <x:c r="U592" s="25" t="str">
        <x:v>Cancelled</x:v>
      </x:c>
      <x:c r="V592" s="29" t="n">
        <x:v>5</x:v>
      </x:c>
    </x:row>
    <x:row r="593">
      <x:c r="A593" s="23" t="str">
        <x:v>MAN-2025-00592</x:v>
      </x:c>
      <x:c r="B593" s="24" t="n">
        <x:v>45695</x:v>
      </x:c>
      <x:c r="C593" s="25" t="str">
        <x:v>Mansoura</x:v>
      </x:c>
      <x:c r="D593" s="25" t="str">
        <x:v>Mansoura City</x:v>
      </x:c>
      <x:c r="E593" s="25" t="str">
        <x:v>Ali Sayed</x:v>
      </x:c>
      <x:c r="F593" s="25" t="str">
        <x:v>Mostafa Sayed</x:v>
      </x:c>
      <x:c r="G593" s="25" t="str">
        <x:v>Consumer</x:v>
      </x:c>
      <x:c r="H593" s="25" t="str">
        <x:v>Retail Store</x:v>
      </x:c>
      <x:c r="I593" s="25" t="str">
        <x:v>Furniture</x:v>
      </x:c>
      <x:c r="J593" s="25" t="str">
        <x:v>Desk</x:v>
      </x:c>
      <x:c r="K593" s="25" t="n">
        <x:v>4</x:v>
      </x:c>
      <x:c r="L593" s="26" t="n">
        <x:v>4969</x:v>
      </x:c>
      <x:c r="M593" s="27" t="n">
        <x:v>0.1</x:v>
      </x:c>
      <x:c r="N593" s="26" t="n">
        <x:f>K593*L593</x:f>
        <x:v>19876</x:v>
      </x:c>
      <x:c r="O593" s="26" t="n">
        <x:f>N593*(1-M593)</x:f>
        <x:v>17888.4</x:v>
      </x:c>
      <x:c r="P593" s="26" t="n">
        <x:v>3966</x:v>
      </x:c>
      <x:c r="Q593" s="26" t="n">
        <x:f>K593*P593</x:f>
        <x:v>15864</x:v>
      </x:c>
      <x:c r="R593" s="26" t="n">
        <x:f>O593-Q593</x:f>
        <x:v>2024.4000000000015</x:v>
      </x:c>
      <x:c r="S593" s="28" t="n">
        <x:f>IF(O593=0,0,R593/O593)</x:f>
        <x:v>0.11316831018984377</x:v>
      </x:c>
      <x:c r="T593" s="25" t="str">
        <x:v>Debit Card</x:v>
      </x:c>
      <x:c r="U593" s="25" t="str">
        <x:v>Completed</x:v>
      </x:c>
      <x:c r="V593" s="29" t="n">
        <x:v>5</x:v>
      </x:c>
    </x:row>
    <x:row r="594">
      <x:c r="A594" s="23" t="str">
        <x:v>MAN-2025-00593</x:v>
      </x:c>
      <x:c r="B594" s="24" t="n">
        <x:v>45960</x:v>
      </x:c>
      <x:c r="C594" s="25" t="str">
        <x:v>Mansoura</x:v>
      </x:c>
      <x:c r="D594" s="25" t="str">
        <x:v>Talkha</x:v>
      </x:c>
      <x:c r="E594" s="25" t="str">
        <x:v>Salma Mansour</x:v>
      </x:c>
      <x:c r="F594" s="25" t="str">
        <x:v>Omar Mansour</x:v>
      </x:c>
      <x:c r="G594" s="25" t="str">
        <x:v>Small Business</x:v>
      </x:c>
      <x:c r="H594" s="25" t="str">
        <x:v>Phone Order</x:v>
      </x:c>
      <x:c r="I594" s="25" t="str">
        <x:v>Electronics</x:v>
      </x:c>
      <x:c r="J594" s="25" t="str">
        <x:v>Laptop</x:v>
      </x:c>
      <x:c r="K594" s="25" t="n">
        <x:v>4</x:v>
      </x:c>
      <x:c r="L594" s="26" t="n">
        <x:v>22933</x:v>
      </x:c>
      <x:c r="M594" s="27" t="n">
        <x:v>0.1</x:v>
      </x:c>
      <x:c r="N594" s="26" t="n">
        <x:f>K594*L594</x:f>
        <x:v>91732</x:v>
      </x:c>
      <x:c r="O594" s="26" t="n">
        <x:f>N594*(1-M594)</x:f>
        <x:v>82558.8</x:v>
      </x:c>
      <x:c r="P594" s="26" t="n">
        <x:v>21668</x:v>
      </x:c>
      <x:c r="Q594" s="26" t="n">
        <x:f>K594*P594</x:f>
        <x:v>86672</x:v>
      </x:c>
      <x:c r="R594" s="26" t="n">
        <x:f>O594-Q594</x:f>
        <x:v>-4113.199999999997</x:v>
      </x:c>
      <x:c r="S594" s="28" t="n">
        <x:f>IF(O594=0,0,R594/O594)</x:f>
        <x:v>-0.049821460583244874</x:v>
      </x:c>
      <x:c r="T594" s="25" t="str">
        <x:v>Debit Card</x:v>
      </x:c>
      <x:c r="U594" s="25" t="str">
        <x:v>Completed</x:v>
      </x:c>
      <x:c r="V594" s="29" t="n">
        <x:v>4</x:v>
      </x:c>
    </x:row>
    <x:row r="595">
      <x:c r="A595" s="23" t="str">
        <x:v>MAN-2025-00594</x:v>
      </x:c>
      <x:c r="B595" s="24" t="n">
        <x:v>45895</x:v>
      </x:c>
      <x:c r="C595" s="25" t="str">
        <x:v>Mansoura</x:v>
      </x:c>
      <x:c r="D595" s="25" t="str">
        <x:v>Aga</x:v>
      </x:c>
      <x:c r="E595" s="25" t="str">
        <x:v>Youssef Fathy</x:v>
      </x:c>
      <x:c r="F595" s="25" t="str">
        <x:v>Mostafa Samir</x:v>
      </x:c>
      <x:c r="G595" s="25" t="str">
        <x:v>Consumer</x:v>
      </x:c>
      <x:c r="H595" s="25" t="str">
        <x:v>Retail Store</x:v>
      </x:c>
      <x:c r="I595" s="25" t="str">
        <x:v>Office Supplies</x:v>
      </x:c>
      <x:c r="J595" s="25" t="str">
        <x:v>Printer</x:v>
      </x:c>
      <x:c r="K595" s="25" t="n">
        <x:v>2</x:v>
      </x:c>
      <x:c r="L595" s="26" t="n">
        <x:v>6717</x:v>
      </x:c>
      <x:c r="M595" s="27" t="n">
        <x:v>0.15</x:v>
      </x:c>
      <x:c r="N595" s="26" t="n">
        <x:f>K595*L595</x:f>
        <x:v>13434</x:v>
      </x:c>
      <x:c r="O595" s="26" t="n">
        <x:f>N595*(1-M595)</x:f>
        <x:v>11418.9</x:v>
      </x:c>
      <x:c r="P595" s="26" t="n">
        <x:v>5386</x:v>
      </x:c>
      <x:c r="Q595" s="26" t="n">
        <x:f>K595*P595</x:f>
        <x:v>10772</x:v>
      </x:c>
      <x:c r="R595" s="26" t="n">
        <x:f>O595-Q595</x:f>
        <x:v>646.8999999999996</x:v>
      </x:c>
      <x:c r="S595" s="28" t="n">
        <x:f>IF(O595=0,0,R595/O595)</x:f>
        <x:v>0.0566516914939267</x:v>
      </x:c>
      <x:c r="T595" s="25" t="str">
        <x:v>Credit Card</x:v>
      </x:c>
      <x:c r="U595" s="25" t="str">
        <x:v>Returned</x:v>
      </x:c>
      <x:c r="V595" s="29" t="n">
        <x:v>4</x:v>
      </x:c>
    </x:row>
    <x:row r="596">
      <x:c r="A596" s="23" t="str">
        <x:v>MAN-2025-00595</x:v>
      </x:c>
      <x:c r="B596" s="24" t="n">
        <x:v>45792</x:v>
      </x:c>
      <x:c r="C596" s="25" t="str">
        <x:v>Mansoura</x:v>
      </x:c>
      <x:c r="D596" s="25" t="str">
        <x:v>Sherbin</x:v>
      </x:c>
      <x:c r="E596" s="25" t="str">
        <x:v>Salma Mansour</x:v>
      </x:c>
      <x:c r="F596" s="25" t="str">
        <x:v>Amr Hassan</x:v>
      </x:c>
      <x:c r="G596" s="25" t="str">
        <x:v>Small Business</x:v>
      </x:c>
      <x:c r="H596" s="25" t="str">
        <x:v>Phone Order</x:v>
      </x:c>
      <x:c r="I596" s="25" t="str">
        <x:v>Electronics</x:v>
      </x:c>
      <x:c r="J596" s="25" t="str">
        <x:v>Headphones</x:v>
      </x:c>
      <x:c r="K596" s="25" t="n">
        <x:v>4</x:v>
      </x:c>
      <x:c r="L596" s="26" t="n">
        <x:v>1726</x:v>
      </x:c>
      <x:c r="M596" s="27" t="n">
        <x:v>0.05</x:v>
      </x:c>
      <x:c r="N596" s="26" t="n">
        <x:f>K596*L596</x:f>
        <x:v>6904</x:v>
      </x:c>
      <x:c r="O596" s="26" t="n">
        <x:f>N596*(1-M596)</x:f>
        <x:v>6558.799999999999</x:v>
      </x:c>
      <x:c r="P596" s="26" t="n">
        <x:v>1089</x:v>
      </x:c>
      <x:c r="Q596" s="26" t="n">
        <x:f>K596*P596</x:f>
        <x:v>4356</x:v>
      </x:c>
      <x:c r="R596" s="26" t="n">
        <x:f>O596-Q596</x:f>
        <x:v>2202.7999999999993</x:v>
      </x:c>
      <x:c r="S596" s="28" t="n">
        <x:f>IF(O596=0,0,R596/O596)</x:f>
        <x:v>0.33585411965603457</x:v>
      </x:c>
      <x:c r="T596" s="25" t="str">
        <x:v>Cash</x:v>
      </x:c>
      <x:c r="U596" s="25" t="str">
        <x:v>Completed</x:v>
      </x:c>
      <x:c r="V596" s="29" t="n">
        <x:v>5</x:v>
      </x:c>
    </x:row>
    <x:row r="597">
      <x:c r="A597" s="23" t="str">
        <x:v>MAN-2025-00596</x:v>
      </x:c>
      <x:c r="B597" s="24" t="n">
        <x:v>45724</x:v>
      </x:c>
      <x:c r="C597" s="25" t="str">
        <x:v>Mansoura</x:v>
      </x:c>
      <x:c r="D597" s="25" t="str">
        <x:v>Aga</x:v>
      </x:c>
      <x:c r="E597" s="25" t="str">
        <x:v>Aya Farouk</x:v>
      </x:c>
      <x:c r="F597" s="25" t="str">
        <x:v>Salma Ibrahim</x:v>
      </x:c>
      <x:c r="G597" s="25" t="str">
        <x:v>Corporate</x:v>
      </x:c>
      <x:c r="H597" s="25" t="str">
        <x:v>Phone Order</x:v>
      </x:c>
      <x:c r="I597" s="25" t="str">
        <x:v>Furniture</x:v>
      </x:c>
      <x:c r="J597" s="25" t="str">
        <x:v>Office Chair</x:v>
      </x:c>
      <x:c r="K597" s="25" t="n">
        <x:v>5</x:v>
      </x:c>
      <x:c r="L597" s="26" t="n">
        <x:v>3978</x:v>
      </x:c>
      <x:c r="M597" s="27" t="n">
        <x:v>0.1</x:v>
      </x:c>
      <x:c r="N597" s="26" t="n">
        <x:f>K597*L597</x:f>
        <x:v>19890</x:v>
      </x:c>
      <x:c r="O597" s="26" t="n">
        <x:f>N597*(1-M597)</x:f>
        <x:v>17901</x:v>
      </x:c>
      <x:c r="P597" s="26" t="n">
        <x:v>2874</x:v>
      </x:c>
      <x:c r="Q597" s="26" t="n">
        <x:f>K597*P597</x:f>
        <x:v>14370</x:v>
      </x:c>
      <x:c r="R597" s="26" t="n">
        <x:f>O597-Q597</x:f>
        <x:v>3531</x:v>
      </x:c>
      <x:c r="S597" s="28" t="n">
        <x:f>IF(O597=0,0,R597/O597)</x:f>
        <x:v>0.19725155019272667</x:v>
      </x:c>
      <x:c r="T597" s="25" t="str">
        <x:v>Cash</x:v>
      </x:c>
      <x:c r="U597" s="25" t="str">
        <x:v>Cancelled</x:v>
      </x:c>
      <x:c r="V597" s="29" t="n">
        <x:v>4</x:v>
      </x:c>
    </x:row>
    <x:row r="598">
      <x:c r="A598" s="23" t="str">
        <x:v>MAN-2025-00597</x:v>
      </x:c>
      <x:c r="B598" s="24" t="n">
        <x:v>45680</x:v>
      </x:c>
      <x:c r="C598" s="25" t="str">
        <x:v>Mansoura</x:v>
      </x:c>
      <x:c r="D598" s="25" t="str">
        <x:v>Talkha</x:v>
      </x:c>
      <x:c r="E598" s="25" t="str">
        <x:v>Ali Sayed</x:v>
      </x:c>
      <x:c r="F598" s="25" t="str">
        <x:v>Mostafa Gamal</x:v>
      </x:c>
      <x:c r="G598" s="25" t="str">
        <x:v>Consumer</x:v>
      </x:c>
      <x:c r="H598" s="25" t="str">
        <x:v>Retail Store</x:v>
      </x:c>
      <x:c r="I598" s="25" t="str">
        <x:v>Home Appliances</x:v>
      </x:c>
      <x:c r="J598" s="25" t="str">
        <x:v>Washing Machine</x:v>
      </x:c>
      <x:c r="K598" s="25" t="n">
        <x:v>4</x:v>
      </x:c>
      <x:c r="L598" s="26" t="n">
        <x:v>15816</x:v>
      </x:c>
      <x:c r="M598" s="27" t="n">
        <x:v>0</x:v>
      </x:c>
      <x:c r="N598" s="26" t="n">
        <x:f>K598*L598</x:f>
        <x:v>63264</x:v>
      </x:c>
      <x:c r="O598" s="26" t="n">
        <x:f>N598*(1-M598)</x:f>
        <x:v>63264</x:v>
      </x:c>
      <x:c r="P598" s="26" t="n">
        <x:v>13785</x:v>
      </x:c>
      <x:c r="Q598" s="26" t="n">
        <x:f>K598*P598</x:f>
        <x:v>55140</x:v>
      </x:c>
      <x:c r="R598" s="26" t="n">
        <x:f>O598-Q598</x:f>
        <x:v>8124</x:v>
      </x:c>
      <x:c r="S598" s="28" t="n">
        <x:f>IF(O598=0,0,R598/O598)</x:f>
        <x:v>0.1284142640364188</x:v>
      </x:c>
      <x:c r="T598" s="25" t="str">
        <x:v>Credit Card</x:v>
      </x:c>
      <x:c r="U598" s="25" t="str">
        <x:v>Returned</x:v>
      </x:c>
      <x:c r="V598" s="29" t="n">
        <x:v>4</x:v>
      </x:c>
    </x:row>
    <x:row r="599">
      <x:c r="A599" s="23" t="str">
        <x:v>MAN-2025-00598</x:v>
      </x:c>
      <x:c r="B599" s="24" t="n">
        <x:v>45699</x:v>
      </x:c>
      <x:c r="C599" s="25" t="str">
        <x:v>Mansoura</x:v>
      </x:c>
      <x:c r="D599" s="25" t="str">
        <x:v>Aga</x:v>
      </x:c>
      <x:c r="E599" s="25" t="str">
        <x:v>Salma Mansour</x:v>
      </x:c>
      <x:c r="F599" s="25" t="str">
        <x:v>Ahmed Samir</x:v>
      </x:c>
      <x:c r="G599" s="25" t="str">
        <x:v>Consumer</x:v>
      </x:c>
      <x:c r="H599" s="25" t="str">
        <x:v>Mobile App</x:v>
      </x:c>
      <x:c r="I599" s="25" t="str">
        <x:v>Home Appliances</x:v>
      </x:c>
      <x:c r="J599" s="25" t="str">
        <x:v>Microwave</x:v>
      </x:c>
      <x:c r="K599" s="25" t="n">
        <x:v>1</x:v>
      </x:c>
      <x:c r="L599" s="26" t="n">
        <x:v>5370</x:v>
      </x:c>
      <x:c r="M599" s="27" t="n">
        <x:v>0.1</x:v>
      </x:c>
      <x:c r="N599" s="26" t="n">
        <x:f>K599*L599</x:f>
        <x:v>5370</x:v>
      </x:c>
      <x:c r="O599" s="26" t="n">
        <x:f>N599*(1-M599)</x:f>
        <x:v>4833</x:v>
      </x:c>
      <x:c r="P599" s="26" t="n">
        <x:v>4569</x:v>
      </x:c>
      <x:c r="Q599" s="26" t="n">
        <x:f>K599*P599</x:f>
        <x:v>4569</x:v>
      </x:c>
      <x:c r="R599" s="26" t="n">
        <x:f>O599-Q599</x:f>
        <x:v>264</x:v>
      </x:c>
      <x:c r="S599" s="28" t="n">
        <x:f>IF(O599=0,0,R599/O599)</x:f>
        <x:v>0.05462445685909373</x:v>
      </x:c>
      <x:c r="T599" s="25" t="str">
        <x:v>Cash</x:v>
      </x:c>
      <x:c r="U599" s="25" t="str">
        <x:v>Completed</x:v>
      </x:c>
      <x:c r="V599" s="29" t="n">
        <x:v>4</x:v>
      </x:c>
    </x:row>
    <x:row r="600">
      <x:c r="A600" s="23" t="str">
        <x:v>MAN-2025-00599</x:v>
      </x:c>
      <x:c r="B600" s="24" t="n">
        <x:v>45958</x:v>
      </x:c>
      <x:c r="C600" s="25" t="str">
        <x:v>Mansoura</x:v>
      </x:c>
      <x:c r="D600" s="25" t="str">
        <x:v>Sherbin</x:v>
      </x:c>
      <x:c r="E600" s="25" t="str">
        <x:v>Youssef Fathy</x:v>
      </x:c>
      <x:c r="F600" s="25" t="str">
        <x:v>Ahmed Khalil</x:v>
      </x:c>
      <x:c r="G600" s="25" t="str">
        <x:v>Small Business</x:v>
      </x:c>
      <x:c r="H600" s="25" t="str">
        <x:v>Mobile App</x:v>
      </x:c>
      <x:c r="I600" s="25" t="str">
        <x:v>Home Appliances</x:v>
      </x:c>
      <x:c r="J600" s="25" t="str">
        <x:v>Microwave</x:v>
      </x:c>
      <x:c r="K600" s="25" t="n">
        <x:v>1</x:v>
      </x:c>
      <x:c r="L600" s="26" t="n">
        <x:v>5381</x:v>
      </x:c>
      <x:c r="M600" s="27" t="n">
        <x:v>0.1</x:v>
      </x:c>
      <x:c r="N600" s="26" t="n">
        <x:f>K600*L600</x:f>
        <x:v>5381</x:v>
      </x:c>
      <x:c r="O600" s="26" t="n">
        <x:f>N600*(1-M600)</x:f>
        <x:v>4842.900000000001</x:v>
      </x:c>
      <x:c r="P600" s="26" t="n">
        <x:v>4528</x:v>
      </x:c>
      <x:c r="Q600" s="26" t="n">
        <x:f>K600*P600</x:f>
        <x:v>4528</x:v>
      </x:c>
      <x:c r="R600" s="26" t="n">
        <x:f>O600-Q600</x:f>
        <x:v>314.90000000000055</x:v>
      </x:c>
      <x:c r="S600" s="28" t="n">
        <x:f>IF(O600=0,0,R600/O600)</x:f>
        <x:v>0.0650230233950733</x:v>
      </x:c>
      <x:c r="T600" s="25" t="str">
        <x:v>Digital Wallet</x:v>
      </x:c>
      <x:c r="U600" s="25" t="str">
        <x:v>Completed</x:v>
      </x:c>
      <x:c r="V600" s="29" t="n">
        <x:v>4</x:v>
      </x:c>
    </x:row>
    <x:row r="601">
      <x:c r="A601" s="23" t="str">
        <x:v>MAN-2025-00600</x:v>
      </x:c>
      <x:c r="B601" s="24" t="n">
        <x:v>45671</x:v>
      </x:c>
      <x:c r="C601" s="25" t="str">
        <x:v>Mansoura</x:v>
      </x:c>
      <x:c r="D601" s="25" t="str">
        <x:v>Mit Ghamr</x:v>
      </x:c>
      <x:c r="E601" s="25" t="str">
        <x:v>Salma Mansour</x:v>
      </x:c>
      <x:c r="F601" s="25" t="str">
        <x:v>Farah Sayed</x:v>
      </x:c>
      <x:c r="G601" s="25" t="str">
        <x:v>Small Business</x:v>
      </x:c>
      <x:c r="H601" s="25" t="str">
        <x:v>Mobile App</x:v>
      </x:c>
      <x:c r="I601" s="25" t="str">
        <x:v>Office Supplies</x:v>
      </x:c>
      <x:c r="J601" s="25" t="str">
        <x:v>Calculator</x:v>
      </x:c>
      <x:c r="K601" s="25" t="n">
        <x:v>4</x:v>
      </x:c>
      <x:c r="L601" s="26" t="n">
        <x:v>425</x:v>
      </x:c>
      <x:c r="M601" s="27" t="n">
        <x:v>0</x:v>
      </x:c>
      <x:c r="N601" s="26" t="n">
        <x:f>K601*L601</x:f>
        <x:v>1700</x:v>
      </x:c>
      <x:c r="O601" s="26" t="n">
        <x:f>N601*(1-M601)</x:f>
        <x:v>1700</x:v>
      </x:c>
      <x:c r="P601" s="26" t="n">
        <x:v>287</x:v>
      </x:c>
      <x:c r="Q601" s="26" t="n">
        <x:f>K601*P601</x:f>
        <x:v>1148</x:v>
      </x:c>
      <x:c r="R601" s="26" t="n">
        <x:f>O601-Q601</x:f>
        <x:v>552</x:v>
      </x:c>
      <x:c r="S601" s="28" t="n">
        <x:f>IF(O601=0,0,R601/O601)</x:f>
        <x:v>0.3247058823529412</x:v>
      </x:c>
      <x:c r="T601" s="25" t="str">
        <x:v>Cash</x:v>
      </x:c>
      <x:c r="U601" s="25" t="str">
        <x:v>Cancelled</x:v>
      </x:c>
      <x:c r="V601" s="29" t="n">
        <x:v>3</x:v>
      </x:c>
    </x:row>
    <x:row r="602">
      <x:c r="A602" s="23" t="str">
        <x:v>MAN-2025-00601</x:v>
      </x:c>
      <x:c r="B602" s="24" t="n">
        <x:v>45665</x:v>
      </x:c>
      <x:c r="C602" s="25" t="str">
        <x:v>Mansoura</x:v>
      </x:c>
      <x:c r="D602" s="25" t="str">
        <x:v>Mit Ghamr</x:v>
      </x:c>
      <x:c r="E602" s="25" t="str">
        <x:v>Salma Mansour</x:v>
      </x:c>
      <x:c r="F602" s="25" t="str">
        <x:v>Mahmoud Khalil</x:v>
      </x:c>
      <x:c r="G602" s="25" t="str">
        <x:v>Small Business</x:v>
      </x:c>
      <x:c r="H602" s="25" t="str">
        <x:v>Mobile App</x:v>
      </x:c>
      <x:c r="I602" s="25" t="str">
        <x:v>Office Supplies</x:v>
      </x:c>
      <x:c r="J602" s="25" t="str">
        <x:v>Paper Box</x:v>
      </x:c>
      <x:c r="K602" s="25" t="n">
        <x:v>1</x:v>
      </x:c>
      <x:c r="L602" s="26" t="n">
        <x:v>387</x:v>
      </x:c>
      <x:c r="M602" s="27" t="n">
        <x:v>0.1</x:v>
      </x:c>
      <x:c r="N602" s="26" t="n">
        <x:f>K602*L602</x:f>
        <x:v>387</x:v>
      </x:c>
      <x:c r="O602" s="26" t="n">
        <x:f>N602*(1-M602)</x:f>
        <x:v>348.3</x:v>
      </x:c>
      <x:c r="P602" s="26" t="n">
        <x:v>266</x:v>
      </x:c>
      <x:c r="Q602" s="26" t="n">
        <x:f>K602*P602</x:f>
        <x:v>266</x:v>
      </x:c>
      <x:c r="R602" s="26" t="n">
        <x:f>O602-Q602</x:f>
        <x:v>82.30000000000001</x:v>
      </x:c>
      <x:c r="S602" s="28" t="n">
        <x:f>IF(O602=0,0,R602/O602)</x:f>
        <x:v>0.23629055412001151</x:v>
      </x:c>
      <x:c r="T602" s="25" t="str">
        <x:v>Credit Card</x:v>
      </x:c>
      <x:c r="U602" s="25" t="str">
        <x:v>Returned</x:v>
      </x:c>
      <x:c r="V602" s="29" t="n">
        <x:v>5</x:v>
      </x:c>
    </x:row>
    <x:row r="603">
      <x:c r="A603" s="23" t="str">
        <x:v>MAN-2025-00602</x:v>
      </x:c>
      <x:c r="B603" s="24" t="n">
        <x:v>45956</x:v>
      </x:c>
      <x:c r="C603" s="25" t="str">
        <x:v>Mansoura</x:v>
      </x:c>
      <x:c r="D603" s="25" t="str">
        <x:v>Mit Ghamr</x:v>
      </x:c>
      <x:c r="E603" s="25" t="str">
        <x:v>Ali Sayed</x:v>
      </x:c>
      <x:c r="F603" s="25" t="str">
        <x:v>Salma Gamal</x:v>
      </x:c>
      <x:c r="G603" s="25" t="str">
        <x:v>Consumer</x:v>
      </x:c>
      <x:c r="H603" s="25" t="str">
        <x:v>Phone Order</x:v>
      </x:c>
      <x:c r="I603" s="25" t="str">
        <x:v>Furniture</x:v>
      </x:c>
      <x:c r="J603" s="25" t="str">
        <x:v>Sofa</x:v>
      </x:c>
      <x:c r="K603" s="25" t="n">
        <x:v>2</x:v>
      </x:c>
      <x:c r="L603" s="26" t="n">
        <x:v>13829</x:v>
      </x:c>
      <x:c r="M603" s="27" t="n">
        <x:v>0</x:v>
      </x:c>
      <x:c r="N603" s="26" t="n">
        <x:f>K603*L603</x:f>
        <x:v>27658</x:v>
      </x:c>
      <x:c r="O603" s="26" t="n">
        <x:f>N603*(1-M603)</x:f>
        <x:v>27658</x:v>
      </x:c>
      <x:c r="P603" s="26" t="n">
        <x:v>11211</x:v>
      </x:c>
      <x:c r="Q603" s="26" t="n">
        <x:f>K603*P603</x:f>
        <x:v>22422</x:v>
      </x:c>
      <x:c r="R603" s="26" t="n">
        <x:f>O603-Q603</x:f>
        <x:v>5236</x:v>
      </x:c>
      <x:c r="S603" s="28" t="n">
        <x:f>IF(O603=0,0,R603/O603)</x:f>
        <x:v>0.18931231470099066</x:v>
      </x:c>
      <x:c r="T603" s="25" t="str">
        <x:v>Cash</x:v>
      </x:c>
      <x:c r="U603" s="25" t="str">
        <x:v>Completed</x:v>
      </x:c>
      <x:c r="V603" s="29" t="n">
        <x:v>3</x:v>
      </x:c>
    </x:row>
    <x:row r="604">
      <x:c r="A604" s="23" t="str">
        <x:v>MAN-2025-00603</x:v>
      </x:c>
      <x:c r="B604" s="24" t="n">
        <x:v>45816</x:v>
      </x:c>
      <x:c r="C604" s="25" t="str">
        <x:v>Mansoura</x:v>
      </x:c>
      <x:c r="D604" s="25" t="str">
        <x:v>Mansoura City</x:v>
      </x:c>
      <x:c r="E604" s="25" t="str">
        <x:v>Ali Sayed</x:v>
      </x:c>
      <x:c r="F604" s="25" t="str">
        <x:v>Aya Farouk</x:v>
      </x:c>
      <x:c r="G604" s="25" t="str">
        <x:v>Corporate</x:v>
      </x:c>
      <x:c r="H604" s="25" t="str">
        <x:v>Mobile App</x:v>
      </x:c>
      <x:c r="I604" s="25" t="str">
        <x:v>Electronics</x:v>
      </x:c>
      <x:c r="J604" s="25" t="str">
        <x:v>Laptop</x:v>
      </x:c>
      <x:c r="K604" s="25" t="n">
        <x:v>6</x:v>
      </x:c>
      <x:c r="L604" s="26" t="n">
        <x:v>24854</x:v>
      </x:c>
      <x:c r="M604" s="27" t="n">
        <x:v>0.15</x:v>
      </x:c>
      <x:c r="N604" s="26" t="n">
        <x:f>K604*L604</x:f>
        <x:v>149124</x:v>
      </x:c>
      <x:c r="O604" s="26" t="n">
        <x:f>N604*(1-M604)</x:f>
        <x:v>126755.4</x:v>
      </x:c>
      <x:c r="P604" s="26" t="n">
        <x:v>21841</x:v>
      </x:c>
      <x:c r="Q604" s="26" t="n">
        <x:f>K604*P604</x:f>
        <x:v>131046</x:v>
      </x:c>
      <x:c r="R604" s="26" t="n">
        <x:f>O604-Q604</x:f>
        <x:v>-4290.600000000006</x:v>
      </x:c>
      <x:c r="S604" s="28" t="n">
        <x:f>IF(O604=0,0,R604/O604)</x:f>
        <x:v>-0.03384944546741209</x:v>
      </x:c>
      <x:c r="T604" s="25" t="str">
        <x:v>Bank Transfer</x:v>
      </x:c>
      <x:c r="U604" s="25" t="str">
        <x:v>Completed</x:v>
      </x:c>
      <x:c r="V604" s="29" t="n">
        <x:v>3</x:v>
      </x:c>
    </x:row>
    <x:row r="605">
      <x:c r="A605" s="23" t="str">
        <x:v>MAN-2025-00604</x:v>
      </x:c>
      <x:c r="B605" s="24" t="n">
        <x:v>45660</x:v>
      </x:c>
      <x:c r="C605" s="25" t="str">
        <x:v>Mansoura</x:v>
      </x:c>
      <x:c r="D605" s="25" t="str">
        <x:v>Talkha</x:v>
      </x:c>
      <x:c r="E605" s="25" t="str">
        <x:v>Ali Sayed</x:v>
      </x:c>
      <x:c r="F605" s="25" t="str">
        <x:v>Ali Fathy</x:v>
      </x:c>
      <x:c r="G605" s="25" t="str">
        <x:v>Small Business</x:v>
      </x:c>
      <x:c r="H605" s="25" t="str">
        <x:v>Retail Store</x:v>
      </x:c>
      <x:c r="I605" s="25" t="str">
        <x:v>Furniture</x:v>
      </x:c>
      <x:c r="J605" s="25" t="str">
        <x:v>Bookshelf</x:v>
      </x:c>
      <x:c r="K605" s="25" t="n">
        <x:v>6</x:v>
      </x:c>
      <x:c r="L605" s="26" t="n">
        <x:v>2993</x:v>
      </x:c>
      <x:c r="M605" s="27" t="n">
        <x:v>0</x:v>
      </x:c>
      <x:c r="N605" s="26" t="n">
        <x:f>K605*L605</x:f>
        <x:v>17958</x:v>
      </x:c>
      <x:c r="O605" s="26" t="n">
        <x:f>N605*(1-M605)</x:f>
        <x:v>17958</x:v>
      </x:c>
      <x:c r="P605" s="26" t="n">
        <x:v>2227</x:v>
      </x:c>
      <x:c r="Q605" s="26" t="n">
        <x:f>K605*P605</x:f>
        <x:v>13362</x:v>
      </x:c>
      <x:c r="R605" s="26" t="n">
        <x:f>O605-Q605</x:f>
        <x:v>4596</x:v>
      </x:c>
      <x:c r="S605" s="28" t="n">
        <x:f>IF(O605=0,0,R605/O605)</x:f>
        <x:v>0.25593050451052457</x:v>
      </x:c>
      <x:c r="T605" s="25" t="str">
        <x:v>Credit Card</x:v>
      </x:c>
      <x:c r="U605" s="25" t="str">
        <x:v>Cancelled</x:v>
      </x:c>
      <x:c r="V605" s="29" t="n">
        <x:v>4</x:v>
      </x:c>
    </x:row>
    <x:row r="606">
      <x:c r="A606" s="23" t="str">
        <x:v>MAN-2025-00605</x:v>
      </x:c>
      <x:c r="B606" s="24" t="n">
        <x:v>45862</x:v>
      </x:c>
      <x:c r="C606" s="25" t="str">
        <x:v>Mansoura</x:v>
      </x:c>
      <x:c r="D606" s="25" t="str">
        <x:v>Talkha</x:v>
      </x:c>
      <x:c r="E606" s="25" t="str">
        <x:v>Salma Mansour</x:v>
      </x:c>
      <x:c r="F606" s="25" t="str">
        <x:v>Ahmed Samir</x:v>
      </x:c>
      <x:c r="G606" s="25" t="str">
        <x:v>Small Business</x:v>
      </x:c>
      <x:c r="H606" s="25" t="str">
        <x:v>Retail Store</x:v>
      </x:c>
      <x:c r="I606" s="25" t="str">
        <x:v>Home Appliances</x:v>
      </x:c>
      <x:c r="J606" s="25" t="str">
        <x:v>Blender</x:v>
      </x:c>
      <x:c r="K606" s="25" t="n">
        <x:v>6</x:v>
      </x:c>
      <x:c r="L606" s="26" t="n">
        <x:v>1716</x:v>
      </x:c>
      <x:c r="M606" s="27" t="n">
        <x:v>0</x:v>
      </x:c>
      <x:c r="N606" s="26" t="n">
        <x:f>K606*L606</x:f>
        <x:v>10296</x:v>
      </x:c>
      <x:c r="O606" s="26" t="n">
        <x:f>N606*(1-M606)</x:f>
        <x:v>10296</x:v>
      </x:c>
      <x:c r="P606" s="26" t="n">
        <x:v>1224</x:v>
      </x:c>
      <x:c r="Q606" s="26" t="n">
        <x:f>K606*P606</x:f>
        <x:v>7344</x:v>
      </x:c>
      <x:c r="R606" s="26" t="n">
        <x:f>O606-Q606</x:f>
        <x:v>2952</x:v>
      </x:c>
      <x:c r="S606" s="28" t="n">
        <x:f>IF(O606=0,0,R606/O606)</x:f>
        <x:v>0.2867132867132867</x:v>
      </x:c>
      <x:c r="T606" s="25" t="str">
        <x:v>Bank Transfer</x:v>
      </x:c>
      <x:c r="U606" s="25" t="str">
        <x:v>Cancelled</x:v>
      </x:c>
      <x:c r="V606" s="29" t="n">
        <x:v>5</x:v>
      </x:c>
    </x:row>
    <x:row r="607">
      <x:c r="A607" s="23" t="str">
        <x:v>MAN-2025-00606</x:v>
      </x:c>
      <x:c r="B607" s="24" t="n">
        <x:v>45754</x:v>
      </x:c>
      <x:c r="C607" s="25" t="str">
        <x:v>Mansoura</x:v>
      </x:c>
      <x:c r="D607" s="25" t="str">
        <x:v>Aga</x:v>
      </x:c>
      <x:c r="E607" s="25" t="str">
        <x:v>Salma Mansour</x:v>
      </x:c>
      <x:c r="F607" s="25" t="str">
        <x:v>Ahmed Ibrahim</x:v>
      </x:c>
      <x:c r="G607" s="25" t="str">
        <x:v>Consumer</x:v>
      </x:c>
      <x:c r="H607" s="25" t="str">
        <x:v>Retail Store</x:v>
      </x:c>
      <x:c r="I607" s="25" t="str">
        <x:v>Furniture</x:v>
      </x:c>
      <x:c r="J607" s="25" t="str">
        <x:v>Office Chair</x:v>
      </x:c>
      <x:c r="K607" s="25" t="n">
        <x:v>2</x:v>
      </x:c>
      <x:c r="L607" s="26" t="n">
        <x:v>4073</x:v>
      </x:c>
      <x:c r="M607" s="27" t="n">
        <x:v>0.05</x:v>
      </x:c>
      <x:c r="N607" s="26" t="n">
        <x:f>K607*L607</x:f>
        <x:v>8146</x:v>
      </x:c>
      <x:c r="O607" s="26" t="n">
        <x:f>N607*(1-M607)</x:f>
        <x:v>7738.7</x:v>
      </x:c>
      <x:c r="P607" s="26" t="n">
        <x:v>2875</x:v>
      </x:c>
      <x:c r="Q607" s="26" t="n">
        <x:f>K607*P607</x:f>
        <x:v>5750</x:v>
      </x:c>
      <x:c r="R607" s="26" t="n">
        <x:f>O607-Q607</x:f>
        <x:v>1988.6999999999998</x:v>
      </x:c>
      <x:c r="S607" s="28" t="n">
        <x:f>IF(O607=0,0,R607/O607)</x:f>
        <x:v>0.2569811467042268</x:v>
      </x:c>
      <x:c r="T607" s="25" t="str">
        <x:v>Cash</x:v>
      </x:c>
      <x:c r="U607" s="25" t="str">
        <x:v>Completed</x:v>
      </x:c>
      <x:c r="V607" s="29" t="n">
        <x:v>4</x:v>
      </x:c>
    </x:row>
    <x:row r="608">
      <x:c r="A608" s="23" t="str">
        <x:v>MAN-2025-00607</x:v>
      </x:c>
      <x:c r="B608" s="24" t="n">
        <x:v>45679</x:v>
      </x:c>
      <x:c r="C608" s="25" t="str">
        <x:v>Mansoura</x:v>
      </x:c>
      <x:c r="D608" s="25" t="str">
        <x:v>Talkha</x:v>
      </x:c>
      <x:c r="E608" s="25" t="str">
        <x:v>Aya Farouk</x:v>
      </x:c>
      <x:c r="F608" s="25" t="str">
        <x:v>Sara Khalil</x:v>
      </x:c>
      <x:c r="G608" s="25" t="str">
        <x:v>Small Business</x:v>
      </x:c>
      <x:c r="H608" s="25" t="str">
        <x:v>Retail Store</x:v>
      </x:c>
      <x:c r="I608" s="25" t="str">
        <x:v>Electronics</x:v>
      </x:c>
      <x:c r="J608" s="25" t="str">
        <x:v>Tablet</x:v>
      </x:c>
      <x:c r="K608" s="25" t="n">
        <x:v>4</x:v>
      </x:c>
      <x:c r="L608" s="26" t="n">
        <x:v>8568</x:v>
      </x:c>
      <x:c r="M608" s="27" t="n">
        <x:v>0.15</x:v>
      </x:c>
      <x:c r="N608" s="26" t="n">
        <x:f>K608*L608</x:f>
        <x:v>34272</x:v>
      </x:c>
      <x:c r="O608" s="26" t="n">
        <x:f>N608*(1-M608)</x:f>
        <x:v>29131.2</x:v>
      </x:c>
      <x:c r="P608" s="26" t="n">
        <x:v>7208</x:v>
      </x:c>
      <x:c r="Q608" s="26" t="n">
        <x:f>K608*P608</x:f>
        <x:v>28832</x:v>
      </x:c>
      <x:c r="R608" s="26" t="n">
        <x:f>O608-Q608</x:f>
        <x:v>299.2000000000007</x:v>
      </x:c>
      <x:c r="S608" s="28" t="n">
        <x:f>IF(O608=0,0,R608/O608)</x:f>
        <x:v>0.010270774976657354</x:v>
      </x:c>
      <x:c r="T608" s="25" t="str">
        <x:v>Debit Card</x:v>
      </x:c>
      <x:c r="U608" s="25" t="str">
        <x:v>Completed</x:v>
      </x:c>
      <x:c r="V608" s="29" t="n">
        <x:v>5</x:v>
      </x:c>
    </x:row>
    <x:row r="609">
      <x:c r="A609" s="23" t="str">
        <x:v>MAN-2025-00608</x:v>
      </x:c>
      <x:c r="B609" s="24" t="n">
        <x:v>45971</x:v>
      </x:c>
      <x:c r="C609" s="25" t="str">
        <x:v>Mansoura</x:v>
      </x:c>
      <x:c r="D609" s="25" t="str">
        <x:v>Talkha</x:v>
      </x:c>
      <x:c r="E609" s="25" t="str">
        <x:v>Aya Farouk</x:v>
      </x:c>
      <x:c r="F609" s="25" t="str">
        <x:v>Omar Mansour</x:v>
      </x:c>
      <x:c r="G609" s="25" t="str">
        <x:v>Consumer</x:v>
      </x:c>
      <x:c r="H609" s="25" t="str">
        <x:v>Phone Order</x:v>
      </x:c>
      <x:c r="I609" s="25" t="str">
        <x:v>Electronics</x:v>
      </x:c>
      <x:c r="J609" s="25" t="str">
        <x:v>Smartphone</x:v>
      </x:c>
      <x:c r="K609" s="25" t="n">
        <x:v>4</x:v>
      </x:c>
      <x:c r="L609" s="26" t="n">
        <x:v>12479</x:v>
      </x:c>
      <x:c r="M609" s="27" t="n">
        <x:v>0.05</x:v>
      </x:c>
      <x:c r="N609" s="26" t="n">
        <x:f>K609*L609</x:f>
        <x:v>49916</x:v>
      </x:c>
      <x:c r="O609" s="26" t="n">
        <x:f>N609*(1-M609)</x:f>
        <x:v>47420.2</x:v>
      </x:c>
      <x:c r="P609" s="26" t="n">
        <x:v>10514</x:v>
      </x:c>
      <x:c r="Q609" s="26" t="n">
        <x:f>K609*P609</x:f>
        <x:v>42056</x:v>
      </x:c>
      <x:c r="R609" s="26" t="n">
        <x:f>O609-Q609</x:f>
        <x:v>5364.199999999997</x:v>
      </x:c>
      <x:c r="S609" s="28" t="n">
        <x:f>IF(O609=0,0,R609/O609)</x:f>
        <x:v>0.11312056887149353</x:v>
      </x:c>
      <x:c r="T609" s="25" t="str">
        <x:v>Debit Card</x:v>
      </x:c>
      <x:c r="U609" s="25" t="str">
        <x:v>Completed</x:v>
      </x:c>
      <x:c r="V609" s="29" t="n">
        <x:v>4</x:v>
      </x:c>
    </x:row>
    <x:row r="610">
      <x:c r="A610" s="23" t="str">
        <x:v>MAN-2025-00609</x:v>
      </x:c>
      <x:c r="B610" s="24" t="n">
        <x:v>45876</x:v>
      </x:c>
      <x:c r="C610" s="25" t="str">
        <x:v>Mansoura</x:v>
      </x:c>
      <x:c r="D610" s="25" t="str">
        <x:v>Mit Ghamr</x:v>
      </x:c>
      <x:c r="E610" s="25" t="str">
        <x:v>Salma Mansour</x:v>
      </x:c>
      <x:c r="F610" s="25" t="str">
        <x:v>Ahmed Adel</x:v>
      </x:c>
      <x:c r="G610" s="25" t="str">
        <x:v>Small Business</x:v>
      </x:c>
      <x:c r="H610" s="25" t="str">
        <x:v>Mobile App</x:v>
      </x:c>
      <x:c r="I610" s="25" t="str">
        <x:v>Office Supplies</x:v>
      </x:c>
      <x:c r="J610" s="25" t="str">
        <x:v>Ink Cartridge</x:v>
      </x:c>
      <x:c r="K610" s="25" t="n">
        <x:v>2</x:v>
      </x:c>
      <x:c r="L610" s="26" t="n">
        <x:v>859</x:v>
      </x:c>
      <x:c r="M610" s="27" t="n">
        <x:v>0</x:v>
      </x:c>
      <x:c r="N610" s="26" t="n">
        <x:f>K610*L610</x:f>
        <x:v>1718</x:v>
      </x:c>
      <x:c r="O610" s="26" t="n">
        <x:f>N610*(1-M610)</x:f>
        <x:v>1718</x:v>
      </x:c>
      <x:c r="P610" s="26" t="n">
        <x:v>590</x:v>
      </x:c>
      <x:c r="Q610" s="26" t="n">
        <x:f>K610*P610</x:f>
        <x:v>1180</x:v>
      </x:c>
      <x:c r="R610" s="26" t="n">
        <x:f>O610-Q610</x:f>
        <x:v>538</x:v>
      </x:c>
      <x:c r="S610" s="28" t="n">
        <x:f>IF(O610=0,0,R610/O610)</x:f>
        <x:v>0.3131548311990687</x:v>
      </x:c>
      <x:c r="T610" s="25" t="str">
        <x:v>Credit Card</x:v>
      </x:c>
      <x:c r="U610" s="25" t="str">
        <x:v>Completed</x:v>
      </x:c>
      <x:c r="V610" s="29" t="n">
        <x:v>4</x:v>
      </x:c>
    </x:row>
    <x:row r="611">
      <x:c r="A611" s="23" t="str">
        <x:v>MAN-2025-00610</x:v>
      </x:c>
      <x:c r="B611" s="24" t="n">
        <x:v>46002</x:v>
      </x:c>
      <x:c r="C611" s="25" t="str">
        <x:v>Mansoura</x:v>
      </x:c>
      <x:c r="D611" s="25" t="str">
        <x:v>Talkha</x:v>
      </x:c>
      <x:c r="E611" s="25" t="str">
        <x:v>Youssef Fathy</x:v>
      </x:c>
      <x:c r="F611" s="25" t="str">
        <x:v>Youssef Tarek</x:v>
      </x:c>
      <x:c r="G611" s="25" t="str">
        <x:v>Consumer</x:v>
      </x:c>
      <x:c r="H611" s="25" t="str">
        <x:v>Mobile App</x:v>
      </x:c>
      <x:c r="I611" s="25" t="str">
        <x:v>Office Supplies</x:v>
      </x:c>
      <x:c r="J611" s="25" t="str">
        <x:v>Ink Cartridge</x:v>
      </x:c>
      <x:c r="K611" s="25" t="n">
        <x:v>4</x:v>
      </x:c>
      <x:c r="L611" s="26" t="n">
        <x:v>859</x:v>
      </x:c>
      <x:c r="M611" s="27" t="n">
        <x:v>0.1</x:v>
      </x:c>
      <x:c r="N611" s="26" t="n">
        <x:f>K611*L611</x:f>
        <x:v>3436</x:v>
      </x:c>
      <x:c r="O611" s="26" t="n">
        <x:f>N611*(1-M611)</x:f>
        <x:v>3092.4</x:v>
      </x:c>
      <x:c r="P611" s="26" t="n">
        <x:v>573</x:v>
      </x:c>
      <x:c r="Q611" s="26" t="n">
        <x:f>K611*P611</x:f>
        <x:v>2292</x:v>
      </x:c>
      <x:c r="R611" s="26" t="n">
        <x:f>O611-Q611</x:f>
        <x:v>800.4000000000001</x:v>
      </x:c>
      <x:c r="S611" s="28" t="n">
        <x:f>IF(O611=0,0,R611/O611)</x:f>
        <x:v>0.2588280946837408</x:v>
      </x:c>
      <x:c r="T611" s="25" t="str">
        <x:v>Credit Card</x:v>
      </x:c>
      <x:c r="U611" s="25" t="str">
        <x:v>Completed</x:v>
      </x:c>
      <x:c r="V611" s="29" t="n">
        <x:v>4</x:v>
      </x:c>
    </x:row>
    <x:row r="612">
      <x:c r="A612" s="23" t="str">
        <x:v>MAN-2025-00611</x:v>
      </x:c>
      <x:c r="B612" s="24" t="n">
        <x:v>45955</x:v>
      </x:c>
      <x:c r="C612" s="25" t="str">
        <x:v>Mansoura</x:v>
      </x:c>
      <x:c r="D612" s="25" t="str">
        <x:v>Aga</x:v>
      </x:c>
      <x:c r="E612" s="25" t="str">
        <x:v>Youssef Fathy</x:v>
      </x:c>
      <x:c r="F612" s="25" t="str">
        <x:v>Mostafa Hassan</x:v>
      </x:c>
      <x:c r="G612" s="25" t="str">
        <x:v>Small Business</x:v>
      </x:c>
      <x:c r="H612" s="25" t="str">
        <x:v>Website</x:v>
      </x:c>
      <x:c r="I612" s="25" t="str">
        <x:v>Electronics</x:v>
      </x:c>
      <x:c r="J612" s="25" t="str">
        <x:v>Tablet</x:v>
      </x:c>
      <x:c r="K612" s="25" t="n">
        <x:v>6</x:v>
      </x:c>
      <x:c r="L612" s="26" t="n">
        <x:v>8568</x:v>
      </x:c>
      <x:c r="M612" s="27" t="n">
        <x:v>0</x:v>
      </x:c>
      <x:c r="N612" s="26" t="n">
        <x:f>K612*L612</x:f>
        <x:v>51408</x:v>
      </x:c>
      <x:c r="O612" s="26" t="n">
        <x:f>N612*(1-M612)</x:f>
        <x:v>51408</x:v>
      </x:c>
      <x:c r="P612" s="26" t="n">
        <x:v>7147</x:v>
      </x:c>
      <x:c r="Q612" s="26" t="n">
        <x:f>K612*P612</x:f>
        <x:v>42882</x:v>
      </x:c>
      <x:c r="R612" s="26" t="n">
        <x:f>O612-Q612</x:f>
        <x:v>8526</x:v>
      </x:c>
      <x:c r="S612" s="28" t="n">
        <x:f>IF(O612=0,0,R612/O612)</x:f>
        <x:v>0.16584967320261437</x:v>
      </x:c>
      <x:c r="T612" s="25" t="str">
        <x:v>Debit Card</x:v>
      </x:c>
      <x:c r="U612" s="25" t="str">
        <x:v>Cancelled</x:v>
      </x:c>
      <x:c r="V612" s="29" t="n">
        <x:v>4</x:v>
      </x:c>
    </x:row>
    <x:row r="613">
      <x:c r="A613" s="23" t="str">
        <x:v>MAN-2025-00612</x:v>
      </x:c>
      <x:c r="B613" s="24" t="n">
        <x:v>45874</x:v>
      </x:c>
      <x:c r="C613" s="25" t="str">
        <x:v>Mansoura</x:v>
      </x:c>
      <x:c r="D613" s="25" t="str">
        <x:v>Aga</x:v>
      </x:c>
      <x:c r="E613" s="25" t="str">
        <x:v>Ali Sayed</x:v>
      </x:c>
      <x:c r="F613" s="25" t="str">
        <x:v>Aya Khalil</x:v>
      </x:c>
      <x:c r="G613" s="25" t="str">
        <x:v>Consumer</x:v>
      </x:c>
      <x:c r="H613" s="25" t="str">
        <x:v>Phone Order</x:v>
      </x:c>
      <x:c r="I613" s="25" t="str">
        <x:v>Office Supplies</x:v>
      </x:c>
      <x:c r="J613" s="25" t="str">
        <x:v>Ink Cartridge</x:v>
      </x:c>
      <x:c r="K613" s="25" t="n">
        <x:v>1</x:v>
      </x:c>
      <x:c r="L613" s="26" t="n">
        <x:v>895</x:v>
      </x:c>
      <x:c r="M613" s="27" t="n">
        <x:v>0.05</x:v>
      </x:c>
      <x:c r="N613" s="26" t="n">
        <x:f>K613*L613</x:f>
        <x:v>895</x:v>
      </x:c>
      <x:c r="O613" s="26" t="n">
        <x:f>N613*(1-M613)</x:f>
        <x:v>850.25</x:v>
      </x:c>
      <x:c r="P613" s="26" t="n">
        <x:v>554</x:v>
      </x:c>
      <x:c r="Q613" s="26" t="n">
        <x:f>K613*P613</x:f>
        <x:v>554</x:v>
      </x:c>
      <x:c r="R613" s="26" t="n">
        <x:f>O613-Q613</x:f>
        <x:v>296.25</x:v>
      </x:c>
      <x:c r="S613" s="28" t="n">
        <x:f>IF(O613=0,0,R613/O613)</x:f>
        <x:v>0.348426933254925</x:v>
      </x:c>
      <x:c r="T613" s="25" t="str">
        <x:v>Cash</x:v>
      </x:c>
      <x:c r="U613" s="25" t="str">
        <x:v>Completed</x:v>
      </x:c>
      <x:c r="V613" s="29" t="n">
        <x:v>5</x:v>
      </x:c>
    </x:row>
    <x:row r="614">
      <x:c r="A614" s="23" t="str">
        <x:v>MAN-2025-00613</x:v>
      </x:c>
      <x:c r="B614" s="24" t="n">
        <x:v>46012</x:v>
      </x:c>
      <x:c r="C614" s="25" t="str">
        <x:v>Mansoura</x:v>
      </x:c>
      <x:c r="D614" s="25" t="str">
        <x:v>Talkha</x:v>
      </x:c>
      <x:c r="E614" s="25" t="str">
        <x:v>Aya Farouk</x:v>
      </x:c>
      <x:c r="F614" s="25" t="str">
        <x:v>Sara Tarek</x:v>
      </x:c>
      <x:c r="G614" s="25" t="str">
        <x:v>Small Business</x:v>
      </x:c>
      <x:c r="H614" s="25" t="str">
        <x:v>Mobile App</x:v>
      </x:c>
      <x:c r="I614" s="25" t="str">
        <x:v>Office Supplies</x:v>
      </x:c>
      <x:c r="J614" s="25" t="str">
        <x:v>Calculator</x:v>
      </x:c>
      <x:c r="K614" s="25" t="n">
        <x:v>5</x:v>
      </x:c>
      <x:c r="L614" s="26" t="n">
        <x:v>429</x:v>
      </x:c>
      <x:c r="M614" s="27" t="n">
        <x:v>0</x:v>
      </x:c>
      <x:c r="N614" s="26" t="n">
        <x:f>K614*L614</x:f>
        <x:v>2145</x:v>
      </x:c>
      <x:c r="O614" s="26" t="n">
        <x:f>N614*(1-M614)</x:f>
        <x:v>2145</x:v>
      </x:c>
      <x:c r="P614" s="26" t="n">
        <x:v>294</x:v>
      </x:c>
      <x:c r="Q614" s="26" t="n">
        <x:f>K614*P614</x:f>
        <x:v>1470</x:v>
      </x:c>
      <x:c r="R614" s="26" t="n">
        <x:f>O614-Q614</x:f>
        <x:v>675</x:v>
      </x:c>
      <x:c r="S614" s="28" t="n">
        <x:f>IF(O614=0,0,R614/O614)</x:f>
        <x:v>0.3146853146853147</x:v>
      </x:c>
      <x:c r="T614" s="25" t="str">
        <x:v>Debit Card</x:v>
      </x:c>
      <x:c r="U614" s="25" t="str">
        <x:v>Completed</x:v>
      </x:c>
      <x:c r="V614" s="29" t="n">
        <x:v>5</x:v>
      </x:c>
    </x:row>
    <x:row r="615">
      <x:c r="A615" s="23" t="str">
        <x:v>MAN-2025-00614</x:v>
      </x:c>
      <x:c r="B615" s="24" t="n">
        <x:v>45848</x:v>
      </x:c>
      <x:c r="C615" s="25" t="str">
        <x:v>Mansoura</x:v>
      </x:c>
      <x:c r="D615" s="25" t="str">
        <x:v>Aga</x:v>
      </x:c>
      <x:c r="E615" s="25" t="str">
        <x:v>Aya Farouk</x:v>
      </x:c>
      <x:c r="F615" s="25" t="str">
        <x:v>Youssef Sayed</x:v>
      </x:c>
      <x:c r="G615" s="25" t="str">
        <x:v>Small Business</x:v>
      </x:c>
      <x:c r="H615" s="25" t="str">
        <x:v>Phone Order</x:v>
      </x:c>
      <x:c r="I615" s="25" t="str">
        <x:v>Office Supplies</x:v>
      </x:c>
      <x:c r="J615" s="25" t="str">
        <x:v>Calculator</x:v>
      </x:c>
      <x:c r="K615" s="25" t="n">
        <x:v>5</x:v>
      </x:c>
      <x:c r="L615" s="26" t="n">
        <x:v>428</x:v>
      </x:c>
      <x:c r="M615" s="27" t="n">
        <x:v>0.15</x:v>
      </x:c>
      <x:c r="N615" s="26" t="n">
        <x:f>K615*L615</x:f>
        <x:v>2140</x:v>
      </x:c>
      <x:c r="O615" s="26" t="n">
        <x:f>N615*(1-M615)</x:f>
        <x:v>1819</x:v>
      </x:c>
      <x:c r="P615" s="26" t="n">
        <x:v>291</x:v>
      </x:c>
      <x:c r="Q615" s="26" t="n">
        <x:f>K615*P615</x:f>
        <x:v>1455</x:v>
      </x:c>
      <x:c r="R615" s="26" t="n">
        <x:f>O615-Q615</x:f>
        <x:v>364</x:v>
      </x:c>
      <x:c r="S615" s="28" t="n">
        <x:f>IF(O615=0,0,R615/O615)</x:f>
        <x:v>0.200109950522265</x:v>
      </x:c>
      <x:c r="T615" s="25" t="str">
        <x:v>Debit Card</x:v>
      </x:c>
      <x:c r="U615" s="25" t="str">
        <x:v>Completed</x:v>
      </x:c>
      <x:c r="V615" s="29" t="n">
        <x:v>5</x:v>
      </x:c>
    </x:row>
    <x:row r="616">
      <x:c r="A616" s="23" t="str">
        <x:v>MAN-2025-00615</x:v>
      </x:c>
      <x:c r="B616" s="24" t="n">
        <x:v>45896</x:v>
      </x:c>
      <x:c r="C616" s="25" t="str">
        <x:v>Mansoura</x:v>
      </x:c>
      <x:c r="D616" s="25" t="str">
        <x:v>Mansoura City</x:v>
      </x:c>
      <x:c r="E616" s="25" t="str">
        <x:v>Youssef Fathy</x:v>
      </x:c>
      <x:c r="F616" s="25" t="str">
        <x:v>Mohamed Sayed</x:v>
      </x:c>
      <x:c r="G616" s="25" t="str">
        <x:v>Consumer</x:v>
      </x:c>
      <x:c r="H616" s="25" t="str">
        <x:v>Retail Store</x:v>
      </x:c>
      <x:c r="I616" s="25" t="str">
        <x:v>Electronics</x:v>
      </x:c>
      <x:c r="J616" s="25" t="str">
        <x:v>Headphones</x:v>
      </x:c>
      <x:c r="K616" s="25" t="n">
        <x:v>1</x:v>
      </x:c>
      <x:c r="L616" s="26" t="n">
        <x:v>1756</x:v>
      </x:c>
      <x:c r="M616" s="27" t="n">
        <x:v>0.05</x:v>
      </x:c>
      <x:c r="N616" s="26" t="n">
        <x:f>K616*L616</x:f>
        <x:v>1756</x:v>
      </x:c>
      <x:c r="O616" s="26" t="n">
        <x:f>N616*(1-M616)</x:f>
        <x:v>1668.1999999999998</x:v>
      </x:c>
      <x:c r="P616" s="26" t="n">
        <x:v>1112</x:v>
      </x:c>
      <x:c r="Q616" s="26" t="n">
        <x:f>K616*P616</x:f>
        <x:v>1112</x:v>
      </x:c>
      <x:c r="R616" s="26" t="n">
        <x:f>O616-Q616</x:f>
        <x:v>556.1999999999998</x:v>
      </x:c>
      <x:c r="S616" s="28" t="n">
        <x:f>IF(O616=0,0,R616/O616)</x:f>
        <x:v>0.333413259800983</x:v>
      </x:c>
      <x:c r="T616" s="25" t="str">
        <x:v>Digital Wallet</x:v>
      </x:c>
      <x:c r="U616" s="25" t="str">
        <x:v>Completed</x:v>
      </x:c>
      <x:c r="V616" s="29" t="n">
        <x:v>4</x:v>
      </x:c>
    </x:row>
    <x:row r="617">
      <x:c r="A617" s="23" t="str">
        <x:v>MAN-2025-00616</x:v>
      </x:c>
      <x:c r="B617" s="24" t="n">
        <x:v>46021</x:v>
      </x:c>
      <x:c r="C617" s="25" t="str">
        <x:v>Mansoura</x:v>
      </x:c>
      <x:c r="D617" s="25" t="str">
        <x:v>Aga</x:v>
      </x:c>
      <x:c r="E617" s="25" t="str">
        <x:v>Aya Farouk</x:v>
      </x:c>
      <x:c r="F617" s="25" t="str">
        <x:v>Youssef Fathy</x:v>
      </x:c>
      <x:c r="G617" s="25" t="str">
        <x:v>Consumer</x:v>
      </x:c>
      <x:c r="H617" s="25" t="str">
        <x:v>Retail Store</x:v>
      </x:c>
      <x:c r="I617" s="25" t="str">
        <x:v>Electronics</x:v>
      </x:c>
      <x:c r="J617" s="25" t="str">
        <x:v>Tablet</x:v>
      </x:c>
      <x:c r="K617" s="25" t="n">
        <x:v>6</x:v>
      </x:c>
      <x:c r="L617" s="26" t="n">
        <x:v>8767</x:v>
      </x:c>
      <x:c r="M617" s="27" t="n">
        <x:v>0</x:v>
      </x:c>
      <x:c r="N617" s="26" t="n">
        <x:f>K617*L617</x:f>
        <x:v>52602</x:v>
      </x:c>
      <x:c r="O617" s="26" t="n">
        <x:f>N617*(1-M617)</x:f>
        <x:v>52602</x:v>
      </x:c>
      <x:c r="P617" s="26" t="n">
        <x:v>7269</x:v>
      </x:c>
      <x:c r="Q617" s="26" t="n">
        <x:f>K617*P617</x:f>
        <x:v>43614</x:v>
      </x:c>
      <x:c r="R617" s="26" t="n">
        <x:f>O617-Q617</x:f>
        <x:v>8988</x:v>
      </x:c>
      <x:c r="S617" s="28" t="n">
        <x:f>IF(O617=0,0,R617/O617)</x:f>
        <x:v>0.17086802783164137</x:v>
      </x:c>
      <x:c r="T617" s="25" t="str">
        <x:v>Debit Card</x:v>
      </x:c>
      <x:c r="U617" s="25" t="str">
        <x:v>Completed</x:v>
      </x:c>
      <x:c r="V617" s="29" t="n">
        <x:v>4</x:v>
      </x:c>
    </x:row>
    <x:row r="618">
      <x:c r="A618" s="23" t="str">
        <x:v>MAN-2025-00617</x:v>
      </x:c>
      <x:c r="B618" s="24" t="n">
        <x:v>45801</x:v>
      </x:c>
      <x:c r="C618" s="25" t="str">
        <x:v>Mansoura</x:v>
      </x:c>
      <x:c r="D618" s="25" t="str">
        <x:v>Sherbin</x:v>
      </x:c>
      <x:c r="E618" s="25" t="str">
        <x:v>Aya Farouk</x:v>
      </x:c>
      <x:c r="F618" s="25" t="str">
        <x:v>Farah Sayed</x:v>
      </x:c>
      <x:c r="G618" s="25" t="str">
        <x:v>Consumer</x:v>
      </x:c>
      <x:c r="H618" s="25" t="str">
        <x:v>Website</x:v>
      </x:c>
      <x:c r="I618" s="25" t="str">
        <x:v>Furniture</x:v>
      </x:c>
      <x:c r="J618" s="25" t="str">
        <x:v>Sofa</x:v>
      </x:c>
      <x:c r="K618" s="25" t="n">
        <x:v>1</x:v>
      </x:c>
      <x:c r="L618" s="26" t="n">
        <x:v>12625</x:v>
      </x:c>
      <x:c r="M618" s="27" t="n">
        <x:v>0.05</x:v>
      </x:c>
      <x:c r="N618" s="26" t="n">
        <x:f>K618*L618</x:f>
        <x:v>12625</x:v>
      </x:c>
      <x:c r="O618" s="26" t="n">
        <x:f>N618*(1-M618)</x:f>
        <x:v>11993.75</x:v>
      </x:c>
      <x:c r="P618" s="26" t="n">
        <x:v>10713</x:v>
      </x:c>
      <x:c r="Q618" s="26" t="n">
        <x:f>K618*P618</x:f>
        <x:v>10713</x:v>
      </x:c>
      <x:c r="R618" s="26" t="n">
        <x:f>O618-Q618</x:f>
        <x:v>1280.75</x:v>
      </x:c>
      <x:c r="S618" s="28" t="n">
        <x:f>IF(O618=0,0,R618/O618)</x:f>
        <x:v>0.10678478374153205</x:v>
      </x:c>
      <x:c r="T618" s="25" t="str">
        <x:v>Cash</x:v>
      </x:c>
      <x:c r="U618" s="25" t="str">
        <x:v>Completed</x:v>
      </x:c>
      <x:c r="V618" s="29" t="n">
        <x:v>5</x:v>
      </x:c>
    </x:row>
    <x:row r="619">
      <x:c r="A619" s="23" t="str">
        <x:v>MAN-2025-00618</x:v>
      </x:c>
      <x:c r="B619" s="24" t="n">
        <x:v>45675</x:v>
      </x:c>
      <x:c r="C619" s="25" t="str">
        <x:v>Mansoura</x:v>
      </x:c>
      <x:c r="D619" s="25" t="str">
        <x:v>Talkha</x:v>
      </x:c>
      <x:c r="E619" s="25" t="str">
        <x:v>Youssef Fathy</x:v>
      </x:c>
      <x:c r="F619" s="25" t="str">
        <x:v>Aya Fathy</x:v>
      </x:c>
      <x:c r="G619" s="25" t="str">
        <x:v>Consumer</x:v>
      </x:c>
      <x:c r="H619" s="25" t="str">
        <x:v>Retail Store</x:v>
      </x:c>
      <x:c r="I619" s="25" t="str">
        <x:v>Home Appliances</x:v>
      </x:c>
      <x:c r="J619" s="25" t="str">
        <x:v>Washing Machine</x:v>
      </x:c>
      <x:c r="K619" s="25" t="n">
        <x:v>2</x:v>
      </x:c>
      <x:c r="L619" s="26" t="n">
        <x:v>15361</x:v>
      </x:c>
      <x:c r="M619" s="27" t="n">
        <x:v>0.05</x:v>
      </x:c>
      <x:c r="N619" s="26" t="n">
        <x:f>K619*L619</x:f>
        <x:v>30722</x:v>
      </x:c>
      <x:c r="O619" s="26" t="n">
        <x:f>N619*(1-M619)</x:f>
        <x:v>29185.899999999998</x:v>
      </x:c>
      <x:c r="P619" s="26" t="n">
        <x:v>13837</x:v>
      </x:c>
      <x:c r="Q619" s="26" t="n">
        <x:f>K619*P619</x:f>
        <x:v>27674</x:v>
      </x:c>
      <x:c r="R619" s="26" t="n">
        <x:f>O619-Q619</x:f>
        <x:v>1511.8999999999978</x:v>
      </x:c>
      <x:c r="S619" s="28" t="n">
        <x:f>IF(O619=0,0,R619/O619)</x:f>
        <x:v>0.051802411438399976</x:v>
      </x:c>
      <x:c r="T619" s="25" t="str">
        <x:v>Credit Card</x:v>
      </x:c>
      <x:c r="U619" s="25" t="str">
        <x:v>Cancelled</x:v>
      </x:c>
      <x:c r="V619" s="29" t="n">
        <x:v>4</x:v>
      </x:c>
    </x:row>
    <x:row r="620">
      <x:c r="A620" s="23" t="str">
        <x:v>MAN-2025-00619</x:v>
      </x:c>
      <x:c r="B620" s="24" t="n">
        <x:v>45805</x:v>
      </x:c>
      <x:c r="C620" s="25" t="str">
        <x:v>Mansoura</x:v>
      </x:c>
      <x:c r="D620" s="25" t="str">
        <x:v>Mansoura City</x:v>
      </x:c>
      <x:c r="E620" s="25" t="str">
        <x:v>Youssef Fathy</x:v>
      </x:c>
      <x:c r="F620" s="25" t="str">
        <x:v>Mahmoud Nasser</x:v>
      </x:c>
      <x:c r="G620" s="25" t="str">
        <x:v>Corporate</x:v>
      </x:c>
      <x:c r="H620" s="25" t="str">
        <x:v>Retail Store</x:v>
      </x:c>
      <x:c r="I620" s="25" t="str">
        <x:v>Home Appliances</x:v>
      </x:c>
      <x:c r="J620" s="25" t="str">
        <x:v>Air Conditioner</x:v>
      </x:c>
      <x:c r="K620" s="25" t="n">
        <x:v>2</x:v>
      </x:c>
      <x:c r="L620" s="26" t="n">
        <x:v>21444</x:v>
      </x:c>
      <x:c r="M620" s="27" t="n">
        <x:v>0</x:v>
      </x:c>
      <x:c r="N620" s="26" t="n">
        <x:f>K620*L620</x:f>
        <x:v>42888</x:v>
      </x:c>
      <x:c r="O620" s="26" t="n">
        <x:f>N620*(1-M620)</x:f>
        <x:v>42888</x:v>
      </x:c>
      <x:c r="P620" s="26" t="n">
        <x:v>17682</x:v>
      </x:c>
      <x:c r="Q620" s="26" t="n">
        <x:f>K620*P620</x:f>
        <x:v>35364</x:v>
      </x:c>
      <x:c r="R620" s="26" t="n">
        <x:f>O620-Q620</x:f>
        <x:v>7524</x:v>
      </x:c>
      <x:c r="S620" s="28" t="n">
        <x:f>IF(O620=0,0,R620/O620)</x:f>
        <x:v>0.17543368774482374</x:v>
      </x:c>
      <x:c r="T620" s="25" t="str">
        <x:v>Bank Transfer</x:v>
      </x:c>
      <x:c r="U620" s="25" t="str">
        <x:v>Completed</x:v>
      </x:c>
      <x:c r="V620" s="29" t="n">
        <x:v>5</x:v>
      </x:c>
    </x:row>
    <x:row r="621">
      <x:c r="A621" s="23" t="str">
        <x:v>MAN-2025-00620</x:v>
      </x:c>
      <x:c r="B621" s="24" t="n">
        <x:v>46018</x:v>
      </x:c>
      <x:c r="C621" s="25" t="str">
        <x:v>Mansoura</x:v>
      </x:c>
      <x:c r="D621" s="25" t="str">
        <x:v>Talkha</x:v>
      </x:c>
      <x:c r="E621" s="25" t="str">
        <x:v>Aya Farouk</x:v>
      </x:c>
      <x:c r="F621" s="25" t="str">
        <x:v>Sara Ibrahim</x:v>
      </x:c>
      <x:c r="G621" s="25" t="str">
        <x:v>Small Business</x:v>
      </x:c>
      <x:c r="H621" s="25" t="str">
        <x:v>Retail Store</x:v>
      </x:c>
      <x:c r="I621" s="25" t="str">
        <x:v>Office Supplies</x:v>
      </x:c>
      <x:c r="J621" s="25" t="str">
        <x:v>Calculator</x:v>
      </x:c>
      <x:c r="K621" s="25" t="n">
        <x:v>6</x:v>
      </x:c>
      <x:c r="L621" s="26" t="n">
        <x:v>465</x:v>
      </x:c>
      <x:c r="M621" s="27" t="n">
        <x:v>0.1</x:v>
      </x:c>
      <x:c r="N621" s="26" t="n">
        <x:f>K621*L621</x:f>
        <x:v>2790</x:v>
      </x:c>
      <x:c r="O621" s="26" t="n">
        <x:f>N621*(1-M621)</x:f>
        <x:v>2511</x:v>
      </x:c>
      <x:c r="P621" s="26" t="n">
        <x:v>296</x:v>
      </x:c>
      <x:c r="Q621" s="26" t="n">
        <x:f>K621*P621</x:f>
        <x:v>1776</x:v>
      </x:c>
      <x:c r="R621" s="26" t="n">
        <x:f>O621-Q621</x:f>
        <x:v>735</x:v>
      </x:c>
      <x:c r="S621" s="28" t="n">
        <x:f>IF(O621=0,0,R621/O621)</x:f>
        <x:v>0.2927120669056153</x:v>
      </x:c>
      <x:c r="T621" s="25" t="str">
        <x:v>Credit Card</x:v>
      </x:c>
      <x:c r="U621" s="25" t="str">
        <x:v>Completed</x:v>
      </x:c>
      <x:c r="V621" s="29" t="n">
        <x:v>5</x:v>
      </x:c>
    </x:row>
    <x:row r="622">
      <x:c r="A622" s="23" t="str">
        <x:v>MAN-2025-00621</x:v>
      </x:c>
      <x:c r="B622" s="24" t="n">
        <x:v>45680</x:v>
      </x:c>
      <x:c r="C622" s="25" t="str">
        <x:v>Mansoura</x:v>
      </x:c>
      <x:c r="D622" s="25" t="str">
        <x:v>Sherbin</x:v>
      </x:c>
      <x:c r="E622" s="25" t="str">
        <x:v>Youssef Fathy</x:v>
      </x:c>
      <x:c r="F622" s="25" t="str">
        <x:v>Youssef Farouk</x:v>
      </x:c>
      <x:c r="G622" s="25" t="str">
        <x:v>Consumer</x:v>
      </x:c>
      <x:c r="H622" s="25" t="str">
        <x:v>Retail Store</x:v>
      </x:c>
      <x:c r="I622" s="25" t="str">
        <x:v>Electronics</x:v>
      </x:c>
      <x:c r="J622" s="25" t="str">
        <x:v>Laptop</x:v>
      </x:c>
      <x:c r="K622" s="25" t="n">
        <x:v>5</x:v>
      </x:c>
      <x:c r="L622" s="26" t="n">
        <x:v>23508</x:v>
      </x:c>
      <x:c r="M622" s="27" t="n">
        <x:v>0.05</x:v>
      </x:c>
      <x:c r="N622" s="26" t="n">
        <x:f>K622*L622</x:f>
        <x:v>117540</x:v>
      </x:c>
      <x:c r="O622" s="26" t="n">
        <x:f>N622*(1-M622)</x:f>
        <x:v>111663</x:v>
      </x:c>
      <x:c r="P622" s="26" t="n">
        <x:v>21009</x:v>
      </x:c>
      <x:c r="Q622" s="26" t="n">
        <x:f>K622*P622</x:f>
        <x:v>105045</x:v>
      </x:c>
      <x:c r="R622" s="26" t="n">
        <x:f>O622-Q622</x:f>
        <x:v>6618</x:v>
      </x:c>
      <x:c r="S622" s="28" t="n">
        <x:f>IF(O622=0,0,R622/O622)</x:f>
        <x:v>0.05926761774267215</x:v>
      </x:c>
      <x:c r="T622" s="25" t="str">
        <x:v>Bank Transfer</x:v>
      </x:c>
      <x:c r="U622" s="25" t="str">
        <x:v>Completed</x:v>
      </x:c>
      <x:c r="V622" s="29" t="n">
        <x:v>4</x:v>
      </x:c>
    </x:row>
    <x:row r="623">
      <x:c r="A623" s="23" t="str">
        <x:v>MAN-2025-00622</x:v>
      </x:c>
      <x:c r="B623" s="24" t="n">
        <x:v>45983</x:v>
      </x:c>
      <x:c r="C623" s="25" t="str">
        <x:v>Mansoura</x:v>
      </x:c>
      <x:c r="D623" s="25" t="str">
        <x:v>Talkha</x:v>
      </x:c>
      <x:c r="E623" s="25" t="str">
        <x:v>Aya Farouk</x:v>
      </x:c>
      <x:c r="F623" s="25" t="str">
        <x:v>Salma Farouk</x:v>
      </x:c>
      <x:c r="G623" s="25" t="str">
        <x:v>Small Business</x:v>
      </x:c>
      <x:c r="H623" s="25" t="str">
        <x:v>Mobile App</x:v>
      </x:c>
      <x:c r="I623" s="25" t="str">
        <x:v>Home Appliances</x:v>
      </x:c>
      <x:c r="J623" s="25" t="str">
        <x:v>Washing Machine</x:v>
      </x:c>
      <x:c r="K623" s="25" t="n">
        <x:v>6</x:v>
      </x:c>
      <x:c r="L623" s="26" t="n">
        <x:v>16968</x:v>
      </x:c>
      <x:c r="M623" s="27" t="n">
        <x:v>0</x:v>
      </x:c>
      <x:c r="N623" s="26" t="n">
        <x:f>K623*L623</x:f>
        <x:v>101808</x:v>
      </x:c>
      <x:c r="O623" s="26" t="n">
        <x:f>N623*(1-M623)</x:f>
        <x:v>101808</x:v>
      </x:c>
      <x:c r="P623" s="26" t="n">
        <x:v>13842</x:v>
      </x:c>
      <x:c r="Q623" s="26" t="n">
        <x:f>K623*P623</x:f>
        <x:v>83052</x:v>
      </x:c>
      <x:c r="R623" s="26" t="n">
        <x:f>O623-Q623</x:f>
        <x:v>18756</x:v>
      </x:c>
      <x:c r="S623" s="28" t="n">
        <x:f>IF(O623=0,0,R623/O623)</x:f>
        <x:v>0.18422913719943423</x:v>
      </x:c>
      <x:c r="T623" s="25" t="str">
        <x:v>Debit Card</x:v>
      </x:c>
      <x:c r="U623" s="25" t="str">
        <x:v>Cancelled</x:v>
      </x:c>
      <x:c r="V623" s="29" t="n">
        <x:v>4</x:v>
      </x:c>
    </x:row>
    <x:row r="624">
      <x:c r="A624" s="23" t="str">
        <x:v>MAN-2025-00623</x:v>
      </x:c>
      <x:c r="B624" s="24" t="n">
        <x:v>46003</x:v>
      </x:c>
      <x:c r="C624" s="25" t="str">
        <x:v>Mansoura</x:v>
      </x:c>
      <x:c r="D624" s="25" t="str">
        <x:v>Mit Ghamr</x:v>
      </x:c>
      <x:c r="E624" s="25" t="str">
        <x:v>Youssef Fathy</x:v>
      </x:c>
      <x:c r="F624" s="25" t="str">
        <x:v>Amr Nasser</x:v>
      </x:c>
      <x:c r="G624" s="25" t="str">
        <x:v>Small Business</x:v>
      </x:c>
      <x:c r="H624" s="25" t="str">
        <x:v>Retail Store</x:v>
      </x:c>
      <x:c r="I624" s="25" t="str">
        <x:v>Electronics</x:v>
      </x:c>
      <x:c r="J624" s="25" t="str">
        <x:v>Smartphone</x:v>
      </x:c>
      <x:c r="K624" s="25" t="n">
        <x:v>4</x:v>
      </x:c>
      <x:c r="L624" s="26" t="n">
        <x:v>13588</x:v>
      </x:c>
      <x:c r="M624" s="27" t="n">
        <x:v>0</x:v>
      </x:c>
      <x:c r="N624" s="26" t="n">
        <x:f>K624*L624</x:f>
        <x:v>54352</x:v>
      </x:c>
      <x:c r="O624" s="26" t="n">
        <x:f>N624*(1-M624)</x:f>
        <x:v>54352</x:v>
      </x:c>
      <x:c r="P624" s="26" t="n">
        <x:v>10524</x:v>
      </x:c>
      <x:c r="Q624" s="26" t="n">
        <x:f>K624*P624</x:f>
        <x:v>42096</x:v>
      </x:c>
      <x:c r="R624" s="26" t="n">
        <x:f>O624-Q624</x:f>
        <x:v>12256</x:v>
      </x:c>
      <x:c r="S624" s="28" t="n">
        <x:f>IF(O624=0,0,R624/O624)</x:f>
        <x:v>0.22549308213129232</x:v>
      </x:c>
      <x:c r="T624" s="25" t="str">
        <x:v>Credit Card</x:v>
      </x:c>
      <x:c r="U624" s="25" t="str">
        <x:v>Completed</x:v>
      </x:c>
      <x:c r="V624" s="29" t="n">
        <x:v>3</x:v>
      </x:c>
    </x:row>
    <x:row r="625">
      <x:c r="A625" s="23" t="str">
        <x:v>MAN-2025-00624</x:v>
      </x:c>
      <x:c r="B625" s="24" t="n">
        <x:v>45725</x:v>
      </x:c>
      <x:c r="C625" s="25" t="str">
        <x:v>Mansoura</x:v>
      </x:c>
      <x:c r="D625" s="25" t="str">
        <x:v>Sherbin</x:v>
      </x:c>
      <x:c r="E625" s="25" t="str">
        <x:v>Youssef Fathy</x:v>
      </x:c>
      <x:c r="F625" s="25" t="str">
        <x:v>Omar Farouk</x:v>
      </x:c>
      <x:c r="G625" s="25" t="str">
        <x:v>Small Business</x:v>
      </x:c>
      <x:c r="H625" s="25" t="str">
        <x:v>Website</x:v>
      </x:c>
      <x:c r="I625" s="25" t="str">
        <x:v>Home Appliances</x:v>
      </x:c>
      <x:c r="J625" s="25" t="str">
        <x:v>Air Conditioner</x:v>
      </x:c>
      <x:c r="K625" s="25" t="n">
        <x:v>5</x:v>
      </x:c>
      <x:c r="L625" s="26" t="n">
        <x:v>21047</x:v>
      </x:c>
      <x:c r="M625" s="27" t="n">
        <x:v>0.1</x:v>
      </x:c>
      <x:c r="N625" s="26" t="n">
        <x:f>K625*L625</x:f>
        <x:v>105235</x:v>
      </x:c>
      <x:c r="O625" s="26" t="n">
        <x:f>N625*(1-M625)</x:f>
        <x:v>94711.5</x:v>
      </x:c>
      <x:c r="P625" s="26" t="n">
        <x:v>17864</x:v>
      </x:c>
      <x:c r="Q625" s="26" t="n">
        <x:f>K625*P625</x:f>
        <x:v>89320</x:v>
      </x:c>
      <x:c r="R625" s="26" t="n">
        <x:f>O625-Q625</x:f>
        <x:v>5391.5</x:v>
      </x:c>
      <x:c r="S625" s="28" t="n">
        <x:f>IF(O625=0,0,R625/O625)</x:f>
        <x:v>0.056925505350459024</x:v>
      </x:c>
      <x:c r="T625" s="25" t="str">
        <x:v>Debit Card</x:v>
      </x:c>
      <x:c r="U625" s="25" t="str">
        <x:v>Completed</x:v>
      </x:c>
      <x:c r="V625" s="29" t="n">
        <x:v>3</x:v>
      </x:c>
    </x:row>
    <x:row r="626">
      <x:c r="A626" s="23" t="str">
        <x:v>MAN-2025-00625</x:v>
      </x:c>
      <x:c r="B626" s="24" t="n">
        <x:v>45916</x:v>
      </x:c>
      <x:c r="C626" s="25" t="str">
        <x:v>Mansoura</x:v>
      </x:c>
      <x:c r="D626" s="25" t="str">
        <x:v>Sherbin</x:v>
      </x:c>
      <x:c r="E626" s="25" t="str">
        <x:v>Aya Farouk</x:v>
      </x:c>
      <x:c r="F626" s="25" t="str">
        <x:v>Hana Fathy</x:v>
      </x:c>
      <x:c r="G626" s="25" t="str">
        <x:v>Consumer</x:v>
      </x:c>
      <x:c r="H626" s="25" t="str">
        <x:v>Retail Store</x:v>
      </x:c>
      <x:c r="I626" s="25" t="str">
        <x:v>Home Appliances</x:v>
      </x:c>
      <x:c r="J626" s="25" t="str">
        <x:v>Washing Machine</x:v>
      </x:c>
      <x:c r="K626" s="25" t="n">
        <x:v>5</x:v>
      </x:c>
      <x:c r="L626" s="26" t="n">
        <x:v>16352</x:v>
      </x:c>
      <x:c r="M626" s="27" t="n">
        <x:v>0.15</x:v>
      </x:c>
      <x:c r="N626" s="26" t="n">
        <x:f>K626*L626</x:f>
        <x:v>81760</x:v>
      </x:c>
      <x:c r="O626" s="26" t="n">
        <x:f>N626*(1-M626)</x:f>
        <x:v>69496</x:v>
      </x:c>
      <x:c r="P626" s="26" t="n">
        <x:v>14026</x:v>
      </x:c>
      <x:c r="Q626" s="26" t="n">
        <x:f>K626*P626</x:f>
        <x:v>70130</x:v>
      </x:c>
      <x:c r="R626" s="26" t="n">
        <x:f>O626-Q626</x:f>
        <x:v>-634</x:v>
      </x:c>
      <x:c r="S626" s="28" t="n">
        <x:f>IF(O626=0,0,R626/O626)</x:f>
        <x:v>-0.009122827213077011</x:v>
      </x:c>
      <x:c r="T626" s="25" t="str">
        <x:v>Cash</x:v>
      </x:c>
      <x:c r="U626" s="25" t="str">
        <x:v>Completed</x:v>
      </x:c>
      <x:c r="V626" s="29" t="n">
        <x:v>4</x:v>
      </x:c>
    </x:row>
    <x:row r="627">
      <x:c r="A627" s="23" t="str">
        <x:v>MAN-2025-00626</x:v>
      </x:c>
      <x:c r="B627" s="24" t="n">
        <x:v>45794</x:v>
      </x:c>
      <x:c r="C627" s="25" t="str">
        <x:v>Mansoura</x:v>
      </x:c>
      <x:c r="D627" s="25" t="str">
        <x:v>Talkha</x:v>
      </x:c>
      <x:c r="E627" s="25" t="str">
        <x:v>Youssef Fathy</x:v>
      </x:c>
      <x:c r="F627" s="25" t="str">
        <x:v>Sara Nasser</x:v>
      </x:c>
      <x:c r="G627" s="25" t="str">
        <x:v>Corporate</x:v>
      </x:c>
      <x:c r="H627" s="25" t="str">
        <x:v>Retail Store</x:v>
      </x:c>
      <x:c r="I627" s="25" t="str">
        <x:v>Office Supplies</x:v>
      </x:c>
      <x:c r="J627" s="25" t="str">
        <x:v>Printer</x:v>
      </x:c>
      <x:c r="K627" s="25" t="n">
        <x:v>1</x:v>
      </x:c>
      <x:c r="L627" s="26" t="n">
        <x:v>6776</x:v>
      </x:c>
      <x:c r="M627" s="27" t="n">
        <x:v>0.1</x:v>
      </x:c>
      <x:c r="N627" s="26" t="n">
        <x:f>K627*L627</x:f>
        <x:v>6776</x:v>
      </x:c>
      <x:c r="O627" s="26" t="n">
        <x:f>N627*(1-M627)</x:f>
        <x:v>6098.400000000001</x:v>
      </x:c>
      <x:c r="P627" s="26" t="n">
        <x:v>5219</x:v>
      </x:c>
      <x:c r="Q627" s="26" t="n">
        <x:f>K627*P627</x:f>
        <x:v>5219</x:v>
      </x:c>
      <x:c r="R627" s="26" t="n">
        <x:f>O627-Q627</x:f>
        <x:v>879.4000000000005</x:v>
      </x:c>
      <x:c r="S627" s="28" t="n">
        <x:f>IF(O627=0,0,R627/O627)</x:f>
        <x:v>0.14420175783812156</x:v>
      </x:c>
      <x:c r="T627" s="25" t="str">
        <x:v>Credit Card</x:v>
      </x:c>
      <x:c r="U627" s="25" t="str">
        <x:v>Completed</x:v>
      </x:c>
      <x:c r="V627" s="29" t="n">
        <x:v>3</x:v>
      </x:c>
    </x:row>
    <x:row r="628">
      <x:c r="A628" s="23" t="str">
        <x:v>MAN-2025-00627</x:v>
      </x:c>
      <x:c r="B628" s="24" t="n">
        <x:v>45827</x:v>
      </x:c>
      <x:c r="C628" s="25" t="str">
        <x:v>Mansoura</x:v>
      </x:c>
      <x:c r="D628" s="25" t="str">
        <x:v>Mit Ghamr</x:v>
      </x:c>
      <x:c r="E628" s="25" t="str">
        <x:v>Salma Mansour</x:v>
      </x:c>
      <x:c r="F628" s="25" t="str">
        <x:v>Youssef Ibrahim</x:v>
      </x:c>
      <x:c r="G628" s="25" t="str">
        <x:v>Consumer</x:v>
      </x:c>
      <x:c r="H628" s="25" t="str">
        <x:v>Mobile App</x:v>
      </x:c>
      <x:c r="I628" s="25" t="str">
        <x:v>Home Appliances</x:v>
      </x:c>
      <x:c r="J628" s="25" t="str">
        <x:v>Blender</x:v>
      </x:c>
      <x:c r="K628" s="25" t="n">
        <x:v>1</x:v>
      </x:c>
      <x:c r="L628" s="26" t="n">
        <x:v>1789</x:v>
      </x:c>
      <x:c r="M628" s="27" t="n">
        <x:v>0.1</x:v>
      </x:c>
      <x:c r="N628" s="26" t="n">
        <x:f>K628*L628</x:f>
        <x:v>1789</x:v>
      </x:c>
      <x:c r="O628" s="26" t="n">
        <x:f>N628*(1-M628)</x:f>
        <x:v>1610.1000000000001</x:v>
      </x:c>
      <x:c r="P628" s="26" t="n">
        <x:v>1250</x:v>
      </x:c>
      <x:c r="Q628" s="26" t="n">
        <x:f>K628*P628</x:f>
        <x:v>1250</x:v>
      </x:c>
      <x:c r="R628" s="26" t="n">
        <x:f>O628-Q628</x:f>
        <x:v>360.10000000000014</x:v>
      </x:c>
      <x:c r="S628" s="28" t="n">
        <x:f>IF(O628=0,0,R628/O628)</x:f>
        <x:v>0.22365070492515998</x:v>
      </x:c>
      <x:c r="T628" s="25" t="str">
        <x:v>Cash</x:v>
      </x:c>
      <x:c r="U628" s="25" t="str">
        <x:v>Completed</x:v>
      </x:c>
      <x:c r="V628" s="29" t="n">
        <x:v>4</x:v>
      </x:c>
    </x:row>
    <x:row r="629">
      <x:c r="A629" s="23" t="str">
        <x:v>MAN-2025-00628</x:v>
      </x:c>
      <x:c r="B629" s="24" t="n">
        <x:v>45748</x:v>
      </x:c>
      <x:c r="C629" s="25" t="str">
        <x:v>Mansoura</x:v>
      </x:c>
      <x:c r="D629" s="25" t="str">
        <x:v>Mit Ghamr</x:v>
      </x:c>
      <x:c r="E629" s="25" t="str">
        <x:v>Aya Farouk</x:v>
      </x:c>
      <x:c r="F629" s="25" t="str">
        <x:v>Ahmed Gamal</x:v>
      </x:c>
      <x:c r="G629" s="25" t="str">
        <x:v>Corporate</x:v>
      </x:c>
      <x:c r="H629" s="25" t="str">
        <x:v>Retail Store</x:v>
      </x:c>
      <x:c r="I629" s="25" t="str">
        <x:v>Furniture</x:v>
      </x:c>
      <x:c r="J629" s="25" t="str">
        <x:v>Bookshelf</x:v>
      </x:c>
      <x:c r="K629" s="25" t="n">
        <x:v>4</x:v>
      </x:c>
      <x:c r="L629" s="26" t="n">
        <x:v>3161</x:v>
      </x:c>
      <x:c r="M629" s="27" t="n">
        <x:v>0.05</x:v>
      </x:c>
      <x:c r="N629" s="26" t="n">
        <x:f>K629*L629</x:f>
        <x:v>12644</x:v>
      </x:c>
      <x:c r="O629" s="26" t="n">
        <x:f>N629*(1-M629)</x:f>
        <x:v>12011.8</x:v>
      </x:c>
      <x:c r="P629" s="26" t="n">
        <x:v>2216</x:v>
      </x:c>
      <x:c r="Q629" s="26" t="n">
        <x:f>K629*P629</x:f>
        <x:v>8864</x:v>
      </x:c>
      <x:c r="R629" s="26" t="n">
        <x:f>O629-Q629</x:f>
        <x:v>3147.7999999999993</x:v>
      </x:c>
      <x:c r="S629" s="28" t="n">
        <x:f>IF(O629=0,0,R629/O629)</x:f>
        <x:v>0.2620589753409147</x:v>
      </x:c>
      <x:c r="T629" s="25" t="str">
        <x:v>Bank Transfer</x:v>
      </x:c>
      <x:c r="U629" s="25" t="str">
        <x:v>Completed</x:v>
      </x:c>
      <x:c r="V629" s="29" t="n">
        <x:v>5</x:v>
      </x:c>
    </x:row>
    <x:row r="630">
      <x:c r="A630" s="23" t="str">
        <x:v>MAN-2025-00629</x:v>
      </x:c>
      <x:c r="B630" s="24" t="n">
        <x:v>45704</x:v>
      </x:c>
      <x:c r="C630" s="25" t="str">
        <x:v>Mansoura</x:v>
      </x:c>
      <x:c r="D630" s="25" t="str">
        <x:v>Mansoura City</x:v>
      </x:c>
      <x:c r="E630" s="25" t="str">
        <x:v>Youssef Fathy</x:v>
      </x:c>
      <x:c r="F630" s="25" t="str">
        <x:v>Mostafa Ibrahim</x:v>
      </x:c>
      <x:c r="G630" s="25" t="str">
        <x:v>Consumer</x:v>
      </x:c>
      <x:c r="H630" s="25" t="str">
        <x:v>Mobile App</x:v>
      </x:c>
      <x:c r="I630" s="25" t="str">
        <x:v>Office Supplies</x:v>
      </x:c>
      <x:c r="J630" s="25" t="str">
        <x:v>Printer</x:v>
      </x:c>
      <x:c r="K630" s="25" t="n">
        <x:v>6</x:v>
      </x:c>
      <x:c r="L630" s="26" t="n">
        <x:v>6960</x:v>
      </x:c>
      <x:c r="M630" s="27" t="n">
        <x:v>0.1</x:v>
      </x:c>
      <x:c r="N630" s="26" t="n">
        <x:f>K630*L630</x:f>
        <x:v>41760</x:v>
      </x:c>
      <x:c r="O630" s="26" t="n">
        <x:f>N630*(1-M630)</x:f>
        <x:v>37584</x:v>
      </x:c>
      <x:c r="P630" s="26" t="n">
        <x:v>5562</x:v>
      </x:c>
      <x:c r="Q630" s="26" t="n">
        <x:f>K630*P630</x:f>
        <x:v>33372</x:v>
      </x:c>
      <x:c r="R630" s="26" t="n">
        <x:f>O630-Q630</x:f>
        <x:v>4212</x:v>
      </x:c>
      <x:c r="S630" s="28" t="n">
        <x:f>IF(O630=0,0,R630/O630)</x:f>
        <x:v>0.11206896551724138</x:v>
      </x:c>
      <x:c r="T630" s="25" t="str">
        <x:v>Bank Transfer</x:v>
      </x:c>
      <x:c r="U630" s="25" t="str">
        <x:v>Completed</x:v>
      </x:c>
      <x:c r="V630" s="29" t="n">
        <x:v>4</x:v>
      </x:c>
    </x:row>
    <x:row r="631">
      <x:c r="A631" s="23" t="str">
        <x:v>MAN-2025-00630</x:v>
      </x:c>
      <x:c r="B631" s="24" t="n">
        <x:v>45790</x:v>
      </x:c>
      <x:c r="C631" s="25" t="str">
        <x:v>Mansoura</x:v>
      </x:c>
      <x:c r="D631" s="25" t="str">
        <x:v>Mansoura City</x:v>
      </x:c>
      <x:c r="E631" s="25" t="str">
        <x:v>Youssef Fathy</x:v>
      </x:c>
      <x:c r="F631" s="25" t="str">
        <x:v>Sara Mansour</x:v>
      </x:c>
      <x:c r="G631" s="25" t="str">
        <x:v>Small Business</x:v>
      </x:c>
      <x:c r="H631" s="25" t="str">
        <x:v>Retail Store</x:v>
      </x:c>
      <x:c r="I631" s="25" t="str">
        <x:v>Furniture</x:v>
      </x:c>
      <x:c r="J631" s="25" t="str">
        <x:v>Bookshelf</x:v>
      </x:c>
      <x:c r="K631" s="25" t="n">
        <x:v>2</x:v>
      </x:c>
      <x:c r="L631" s="26" t="n">
        <x:v>3004</x:v>
      </x:c>
      <x:c r="M631" s="27" t="n">
        <x:v>0.1</x:v>
      </x:c>
      <x:c r="N631" s="26" t="n">
        <x:f>K631*L631</x:f>
        <x:v>6008</x:v>
      </x:c>
      <x:c r="O631" s="26" t="n">
        <x:f>N631*(1-M631)</x:f>
        <x:v>5407.2</x:v>
      </x:c>
      <x:c r="P631" s="26" t="n">
        <x:v>2235</x:v>
      </x:c>
      <x:c r="Q631" s="26" t="n">
        <x:f>K631*P631</x:f>
        <x:v>4470</x:v>
      </x:c>
      <x:c r="R631" s="26" t="n">
        <x:f>O631-Q631</x:f>
        <x:v>937.1999999999998</x:v>
      </x:c>
      <x:c r="S631" s="28" t="n">
        <x:f>IF(O631=0,0,R631/O631)</x:f>
        <x:v>0.17332445628051485</x:v>
      </x:c>
      <x:c r="T631" s="25" t="str">
        <x:v>Credit Card</x:v>
      </x:c>
      <x:c r="U631" s="25" t="str">
        <x:v>Completed</x:v>
      </x:c>
      <x:c r="V631" s="29" t="n">
        <x:v>4</x:v>
      </x:c>
    </x:row>
    <x:row r="632">
      <x:c r="A632" s="23" t="str">
        <x:v>MAN-2025-00631</x:v>
      </x:c>
      <x:c r="B632" s="24" t="n">
        <x:v>45988</x:v>
      </x:c>
      <x:c r="C632" s="25" t="str">
        <x:v>Mansoura</x:v>
      </x:c>
      <x:c r="D632" s="25" t="str">
        <x:v>Talkha</x:v>
      </x:c>
      <x:c r="E632" s="25" t="str">
        <x:v>Salma Mansour</x:v>
      </x:c>
      <x:c r="F632" s="25" t="str">
        <x:v>Hana Ibrahim</x:v>
      </x:c>
      <x:c r="G632" s="25" t="str">
        <x:v>Small Business</x:v>
      </x:c>
      <x:c r="H632" s="25" t="str">
        <x:v>Retail Store</x:v>
      </x:c>
      <x:c r="I632" s="25" t="str">
        <x:v>Electronics</x:v>
      </x:c>
      <x:c r="J632" s="25" t="str">
        <x:v>Smartphone</x:v>
      </x:c>
      <x:c r="K632" s="25" t="n">
        <x:v>5</x:v>
      </x:c>
      <x:c r="L632" s="26" t="n">
        <x:v>13271</x:v>
      </x:c>
      <x:c r="M632" s="27" t="n">
        <x:v>0.1</x:v>
      </x:c>
      <x:c r="N632" s="26" t="n">
        <x:f>K632*L632</x:f>
        <x:v>66355</x:v>
      </x:c>
      <x:c r="O632" s="26" t="n">
        <x:f>N632*(1-M632)</x:f>
        <x:v>59719.5</x:v>
      </x:c>
      <x:c r="P632" s="26" t="n">
        <x:v>11040</x:v>
      </x:c>
      <x:c r="Q632" s="26" t="n">
        <x:f>K632*P632</x:f>
        <x:v>55200</x:v>
      </x:c>
      <x:c r="R632" s="26" t="n">
        <x:f>O632-Q632</x:f>
        <x:v>4519.5</x:v>
      </x:c>
      <x:c r="S632" s="28" t="n">
        <x:f>IF(O632=0,0,R632/O632)</x:f>
        <x:v>0.07567879838243789</x:v>
      </x:c>
      <x:c r="T632" s="25" t="str">
        <x:v>Credit Card</x:v>
      </x:c>
      <x:c r="U632" s="25" t="str">
        <x:v>Completed</x:v>
      </x:c>
      <x:c r="V632" s="29" t="n">
        <x:v>5</x:v>
      </x:c>
    </x:row>
    <x:row r="633">
      <x:c r="A633" s="23" t="str">
        <x:v>MAN-2025-00632</x:v>
      </x:c>
      <x:c r="B633" s="24" t="n">
        <x:v>45984</x:v>
      </x:c>
      <x:c r="C633" s="25" t="str">
        <x:v>Mansoura</x:v>
      </x:c>
      <x:c r="D633" s="25" t="str">
        <x:v>Mit Ghamr</x:v>
      </x:c>
      <x:c r="E633" s="25" t="str">
        <x:v>Youssef Fathy</x:v>
      </x:c>
      <x:c r="F633" s="25" t="str">
        <x:v>Karim Gamal</x:v>
      </x:c>
      <x:c r="G633" s="25" t="str">
        <x:v>Corporate</x:v>
      </x:c>
      <x:c r="H633" s="25" t="str">
        <x:v>Retail Store</x:v>
      </x:c>
      <x:c r="I633" s="25" t="str">
        <x:v>Home Appliances</x:v>
      </x:c>
      <x:c r="J633" s="25" t="str">
        <x:v>Washing Machine</x:v>
      </x:c>
      <x:c r="K633" s="25" t="n">
        <x:v>2</x:v>
      </x:c>
      <x:c r="L633" s="26" t="n">
        <x:v>16001</x:v>
      </x:c>
      <x:c r="M633" s="27" t="n">
        <x:v>0</x:v>
      </x:c>
      <x:c r="N633" s="26" t="n">
        <x:f>K633*L633</x:f>
        <x:v>32002</x:v>
      </x:c>
      <x:c r="O633" s="26" t="n">
        <x:f>N633*(1-M633)</x:f>
        <x:v>32002</x:v>
      </x:c>
      <x:c r="P633" s="26" t="n">
        <x:v>14568</x:v>
      </x:c>
      <x:c r="Q633" s="26" t="n">
        <x:f>K633*P633</x:f>
        <x:v>29136</x:v>
      </x:c>
      <x:c r="R633" s="26" t="n">
        <x:f>O633-Q633</x:f>
        <x:v>2866</x:v>
      </x:c>
      <x:c r="S633" s="28" t="n">
        <x:f>IF(O633=0,0,R633/O633)</x:f>
        <x:v>0.08955690269358164</x:v>
      </x:c>
      <x:c r="T633" s="25" t="str">
        <x:v>Cash</x:v>
      </x:c>
      <x:c r="U633" s="25" t="str">
        <x:v>Returned</x:v>
      </x:c>
      <x:c r="V633" s="29" t="n">
        <x:v>4</x:v>
      </x:c>
    </x:row>
    <x:row r="634">
      <x:c r="A634" s="23" t="str">
        <x:v>MAN-2025-00633</x:v>
      </x:c>
      <x:c r="B634" s="24" t="n">
        <x:v>45843</x:v>
      </x:c>
      <x:c r="C634" s="25" t="str">
        <x:v>Mansoura</x:v>
      </x:c>
      <x:c r="D634" s="25" t="str">
        <x:v>Mit Ghamr</x:v>
      </x:c>
      <x:c r="E634" s="25" t="str">
        <x:v>Ali Sayed</x:v>
      </x:c>
      <x:c r="F634" s="25" t="str">
        <x:v>Ali Mansour</x:v>
      </x:c>
      <x:c r="G634" s="25" t="str">
        <x:v>Consumer</x:v>
      </x:c>
      <x:c r="H634" s="25" t="str">
        <x:v>Phone Order</x:v>
      </x:c>
      <x:c r="I634" s="25" t="str">
        <x:v>Electronics</x:v>
      </x:c>
      <x:c r="J634" s="25" t="str">
        <x:v>Tablet</x:v>
      </x:c>
      <x:c r="K634" s="25" t="n">
        <x:v>5</x:v>
      </x:c>
      <x:c r="L634" s="26" t="n">
        <x:v>9433</x:v>
      </x:c>
      <x:c r="M634" s="27" t="n">
        <x:v>0.1</x:v>
      </x:c>
      <x:c r="N634" s="26" t="n">
        <x:f>K634*L634</x:f>
        <x:v>47165</x:v>
      </x:c>
      <x:c r="O634" s="26" t="n">
        <x:f>N634*(1-M634)</x:f>
        <x:v>42448.5</x:v>
      </x:c>
      <x:c r="P634" s="26" t="n">
        <x:v>7365</x:v>
      </x:c>
      <x:c r="Q634" s="26" t="n">
        <x:f>K634*P634</x:f>
        <x:v>36825</x:v>
      </x:c>
      <x:c r="R634" s="26" t="n">
        <x:f>O634-Q634</x:f>
        <x:v>5623.5</x:v>
      </x:c>
      <x:c r="S634" s="28" t="n">
        <x:f>IF(O634=0,0,R634/O634)</x:f>
        <x:v>0.13247817944096965</x:v>
      </x:c>
      <x:c r="T634" s="25" t="str">
        <x:v>Bank Transfer</x:v>
      </x:c>
      <x:c r="U634" s="25" t="str">
        <x:v>Returned</x:v>
      </x:c>
      <x:c r="V634" s="29" t="n">
        <x:v>4</x:v>
      </x:c>
    </x:row>
    <x:row r="635">
      <x:c r="A635" s="23" t="str">
        <x:v>MAN-2025-00634</x:v>
      </x:c>
      <x:c r="B635" s="24" t="n">
        <x:v>45762</x:v>
      </x:c>
      <x:c r="C635" s="25" t="str">
        <x:v>Mansoura</x:v>
      </x:c>
      <x:c r="D635" s="25" t="str">
        <x:v>Talkha</x:v>
      </x:c>
      <x:c r="E635" s="25" t="str">
        <x:v>Ali Sayed</x:v>
      </x:c>
      <x:c r="F635" s="25" t="str">
        <x:v>Mohamed Nasser</x:v>
      </x:c>
      <x:c r="G635" s="25" t="str">
        <x:v>Small Business</x:v>
      </x:c>
      <x:c r="H635" s="25" t="str">
        <x:v>Mobile App</x:v>
      </x:c>
      <x:c r="I635" s="25" t="str">
        <x:v>Home Appliances</x:v>
      </x:c>
      <x:c r="J635" s="25" t="str">
        <x:v>Air Conditioner</x:v>
      </x:c>
      <x:c r="K635" s="25" t="n">
        <x:v>6</x:v>
      </x:c>
      <x:c r="L635" s="26" t="n">
        <x:v>19459</x:v>
      </x:c>
      <x:c r="M635" s="27" t="n">
        <x:v>0</x:v>
      </x:c>
      <x:c r="N635" s="26" t="n">
        <x:f>K635*L635</x:f>
        <x:v>116754</x:v>
      </x:c>
      <x:c r="O635" s="26" t="n">
        <x:f>N635*(1-M635)</x:f>
        <x:v>116754</x:v>
      </x:c>
      <x:c r="P635" s="26" t="n">
        <x:v>17186</x:v>
      </x:c>
      <x:c r="Q635" s="26" t="n">
        <x:f>K635*P635</x:f>
        <x:v>103116</x:v>
      </x:c>
      <x:c r="R635" s="26" t="n">
        <x:f>O635-Q635</x:f>
        <x:v>13638</x:v>
      </x:c>
      <x:c r="S635" s="28" t="n">
        <x:f>IF(O635=0,0,R635/O635)</x:f>
        <x:v>0.11680970245130788</x:v>
      </x:c>
      <x:c r="T635" s="25" t="str">
        <x:v>Cash</x:v>
      </x:c>
      <x:c r="U635" s="25" t="str">
        <x:v>Cancelled</x:v>
      </x:c>
      <x:c r="V635" s="29" t="n">
        <x:v>4</x:v>
      </x:c>
    </x:row>
    <x:row r="636">
      <x:c r="A636" s="23" t="str">
        <x:v>MAN-2025-00635</x:v>
      </x:c>
      <x:c r="B636" s="24" t="n">
        <x:v>45695</x:v>
      </x:c>
      <x:c r="C636" s="25" t="str">
        <x:v>Mansoura</x:v>
      </x:c>
      <x:c r="D636" s="25" t="str">
        <x:v>Talkha</x:v>
      </x:c>
      <x:c r="E636" s="25" t="str">
        <x:v>Salma Mansour</x:v>
      </x:c>
      <x:c r="F636" s="25" t="str">
        <x:v>Mariam Sayed</x:v>
      </x:c>
      <x:c r="G636" s="25" t="str">
        <x:v>Consumer</x:v>
      </x:c>
      <x:c r="H636" s="25" t="str">
        <x:v>Retail Store</x:v>
      </x:c>
      <x:c r="I636" s="25" t="str">
        <x:v>Furniture</x:v>
      </x:c>
      <x:c r="J636" s="25" t="str">
        <x:v>Sofa</x:v>
      </x:c>
      <x:c r="K636" s="25" t="n">
        <x:v>1</x:v>
      </x:c>
      <x:c r="L636" s="26" t="n">
        <x:v>14026</x:v>
      </x:c>
      <x:c r="M636" s="27" t="n">
        <x:v>0</x:v>
      </x:c>
      <x:c r="N636" s="26" t="n">
        <x:f>K636*L636</x:f>
        <x:v>14026</x:v>
      </x:c>
      <x:c r="O636" s="26" t="n">
        <x:f>N636*(1-M636)</x:f>
        <x:v>14026</x:v>
      </x:c>
      <x:c r="P636" s="26" t="n">
        <x:v>10669</x:v>
      </x:c>
      <x:c r="Q636" s="26" t="n">
        <x:f>K636*P636</x:f>
        <x:v>10669</x:v>
      </x:c>
      <x:c r="R636" s="26" t="n">
        <x:f>O636-Q636</x:f>
        <x:v>3357</x:v>
      </x:c>
      <x:c r="S636" s="28" t="n">
        <x:f>IF(O636=0,0,R636/O636)</x:f>
        <x:v>0.2393412234421788</x:v>
      </x:c>
      <x:c r="T636" s="25" t="str">
        <x:v>Bank Transfer</x:v>
      </x:c>
      <x:c r="U636" s="25" t="str">
        <x:v>Returned</x:v>
      </x:c>
      <x:c r="V636" s="29" t="n">
        <x:v>4</x:v>
      </x:c>
    </x:row>
    <x:row r="637">
      <x:c r="A637" s="23" t="str">
        <x:v>MAN-2025-00636</x:v>
      </x:c>
      <x:c r="B637" s="24" t="n">
        <x:v>45900</x:v>
      </x:c>
      <x:c r="C637" s="25" t="str">
        <x:v>Mansoura</x:v>
      </x:c>
      <x:c r="D637" s="25" t="str">
        <x:v>Sherbin</x:v>
      </x:c>
      <x:c r="E637" s="25" t="str">
        <x:v>Youssef Fathy</x:v>
      </x:c>
      <x:c r="F637" s="25" t="str">
        <x:v>Amr Sayed</x:v>
      </x:c>
      <x:c r="G637" s="25" t="str">
        <x:v>Corporate</x:v>
      </x:c>
      <x:c r="H637" s="25" t="str">
        <x:v>Retail Store</x:v>
      </x:c>
      <x:c r="I637" s="25" t="str">
        <x:v>Furniture</x:v>
      </x:c>
      <x:c r="J637" s="25" t="str">
        <x:v>Office Chair</x:v>
      </x:c>
      <x:c r="K637" s="25" t="n">
        <x:v>1</x:v>
      </x:c>
      <x:c r="L637" s="26" t="n">
        <x:v>3664</x:v>
      </x:c>
      <x:c r="M637" s="27" t="n">
        <x:v>0.1</x:v>
      </x:c>
      <x:c r="N637" s="26" t="n">
        <x:f>K637*L637</x:f>
        <x:v>3664</x:v>
      </x:c>
      <x:c r="O637" s="26" t="n">
        <x:f>N637*(1-M637)</x:f>
        <x:v>3297.6</x:v>
      </x:c>
      <x:c r="P637" s="26" t="n">
        <x:v>2844</x:v>
      </x:c>
      <x:c r="Q637" s="26" t="n">
        <x:f>K637*P637</x:f>
        <x:v>2844</x:v>
      </x:c>
      <x:c r="R637" s="26" t="n">
        <x:f>O637-Q637</x:f>
        <x:v>453.5999999999999</x:v>
      </x:c>
      <x:c r="S637" s="28" t="n">
        <x:f>IF(O637=0,0,R637/O637)</x:f>
        <x:v>0.13755458515283842</x:v>
      </x:c>
      <x:c r="T637" s="25" t="str">
        <x:v>Cash</x:v>
      </x:c>
      <x:c r="U637" s="25" t="str">
        <x:v>Completed</x:v>
      </x:c>
      <x:c r="V637" s="29" t="n">
        <x:v>3</x:v>
      </x:c>
    </x:row>
    <x:row r="638">
      <x:c r="A638" s="23" t="str">
        <x:v>MAN-2025-00637</x:v>
      </x:c>
      <x:c r="B638" s="24" t="n">
        <x:v>45687</x:v>
      </x:c>
      <x:c r="C638" s="25" t="str">
        <x:v>Mansoura</x:v>
      </x:c>
      <x:c r="D638" s="25" t="str">
        <x:v>Mansoura City</x:v>
      </x:c>
      <x:c r="E638" s="25" t="str">
        <x:v>Youssef Fathy</x:v>
      </x:c>
      <x:c r="F638" s="25" t="str">
        <x:v>Nour Hassan</x:v>
      </x:c>
      <x:c r="G638" s="25" t="str">
        <x:v>Corporate</x:v>
      </x:c>
      <x:c r="H638" s="25" t="str">
        <x:v>Retail Store</x:v>
      </x:c>
      <x:c r="I638" s="25" t="str">
        <x:v>Home Appliances</x:v>
      </x:c>
      <x:c r="J638" s="25" t="str">
        <x:v>Blender</x:v>
      </x:c>
      <x:c r="K638" s="25" t="n">
        <x:v>5</x:v>
      </x:c>
      <x:c r="L638" s="26" t="n">
        <x:v>1713</x:v>
      </x:c>
      <x:c r="M638" s="27" t="n">
        <x:v>0</x:v>
      </x:c>
      <x:c r="N638" s="26" t="n">
        <x:f>K638*L638</x:f>
        <x:v>8565</x:v>
      </x:c>
      <x:c r="O638" s="26" t="n">
        <x:f>N638*(1-M638)</x:f>
        <x:v>8565</x:v>
      </x:c>
      <x:c r="P638" s="26" t="n">
        <x:v>1275</x:v>
      </x:c>
      <x:c r="Q638" s="26" t="n">
        <x:f>K638*P638</x:f>
        <x:v>6375</x:v>
      </x:c>
      <x:c r="R638" s="26" t="n">
        <x:f>O638-Q638</x:f>
        <x:v>2190</x:v>
      </x:c>
      <x:c r="S638" s="28" t="n">
        <x:f>IF(O638=0,0,R638/O638)</x:f>
        <x:v>0.25569176882662</x:v>
      </x:c>
      <x:c r="T638" s="25" t="str">
        <x:v>Bank Transfer</x:v>
      </x:c>
      <x:c r="U638" s="25" t="str">
        <x:v>Completed</x:v>
      </x:c>
      <x:c r="V638" s="29" t="n">
        <x:v>5</x:v>
      </x:c>
    </x:row>
    <x:row r="639">
      <x:c r="A639" s="23" t="str">
        <x:v>MAN-2025-00638</x:v>
      </x:c>
      <x:c r="B639" s="24" t="n">
        <x:v>45776</x:v>
      </x:c>
      <x:c r="C639" s="25" t="str">
        <x:v>Mansoura</x:v>
      </x:c>
      <x:c r="D639" s="25" t="str">
        <x:v>Mit Ghamr</x:v>
      </x:c>
      <x:c r="E639" s="25" t="str">
        <x:v>Aya Farouk</x:v>
      </x:c>
      <x:c r="F639" s="25" t="str">
        <x:v>Mostafa Gamal</x:v>
      </x:c>
      <x:c r="G639" s="25" t="str">
        <x:v>Corporate</x:v>
      </x:c>
      <x:c r="H639" s="25" t="str">
        <x:v>Phone Order</x:v>
      </x:c>
      <x:c r="I639" s="25" t="str">
        <x:v>Furniture</x:v>
      </x:c>
      <x:c r="J639" s="25" t="str">
        <x:v>Office Chair</x:v>
      </x:c>
      <x:c r="K639" s="25" t="n">
        <x:v>1</x:v>
      </x:c>
      <x:c r="L639" s="26" t="n">
        <x:v>4025</x:v>
      </x:c>
      <x:c r="M639" s="27" t="n">
        <x:v>0.05</x:v>
      </x:c>
      <x:c r="N639" s="26" t="n">
        <x:f>K639*L639</x:f>
        <x:v>4025</x:v>
      </x:c>
      <x:c r="O639" s="26" t="n">
        <x:f>N639*(1-M639)</x:f>
        <x:v>3823.75</x:v>
      </x:c>
      <x:c r="P639" s="26" t="n">
        <x:v>2887</x:v>
      </x:c>
      <x:c r="Q639" s="26" t="n">
        <x:f>K639*P639</x:f>
        <x:v>2887</x:v>
      </x:c>
      <x:c r="R639" s="26" t="n">
        <x:f>O639-Q639</x:f>
        <x:v>936.75</x:v>
      </x:c>
      <x:c r="S639" s="28" t="n">
        <x:f>IF(O639=0,0,R639/O639)</x:f>
        <x:v>0.24498202026806146</x:v>
      </x:c>
      <x:c r="T639" s="25" t="str">
        <x:v>Digital Wallet</x:v>
      </x:c>
      <x:c r="U639" s="25" t="str">
        <x:v>Completed</x:v>
      </x:c>
      <x:c r="V639" s="29" t="n">
        <x:v>5</x:v>
      </x:c>
    </x:row>
    <x:row r="640">
      <x:c r="A640" s="23" t="str">
        <x:v>MAN-2025-00639</x:v>
      </x:c>
      <x:c r="B640" s="24" t="n">
        <x:v>45742</x:v>
      </x:c>
      <x:c r="C640" s="25" t="str">
        <x:v>Mansoura</x:v>
      </x:c>
      <x:c r="D640" s="25" t="str">
        <x:v>Mansoura City</x:v>
      </x:c>
      <x:c r="E640" s="25" t="str">
        <x:v>Aya Farouk</x:v>
      </x:c>
      <x:c r="F640" s="25" t="str">
        <x:v>Amr Farouk</x:v>
      </x:c>
      <x:c r="G640" s="25" t="str">
        <x:v>Consumer</x:v>
      </x:c>
      <x:c r="H640" s="25" t="str">
        <x:v>Retail Store</x:v>
      </x:c>
      <x:c r="I640" s="25" t="str">
        <x:v>Office Supplies</x:v>
      </x:c>
      <x:c r="J640" s="25" t="str">
        <x:v>Printer</x:v>
      </x:c>
      <x:c r="K640" s="25" t="n">
        <x:v>1</x:v>
      </x:c>
      <x:c r="L640" s="26" t="n">
        <x:v>6963</x:v>
      </x:c>
      <x:c r="M640" s="27" t="n">
        <x:v>0.05</x:v>
      </x:c>
      <x:c r="N640" s="26" t="n">
        <x:f>K640*L640</x:f>
        <x:v>6963</x:v>
      </x:c>
      <x:c r="O640" s="26" t="n">
        <x:f>N640*(1-M640)</x:f>
        <x:v>6614.849999999999</x:v>
      </x:c>
      <x:c r="P640" s="26" t="n">
        <x:v>5306</x:v>
      </x:c>
      <x:c r="Q640" s="26" t="n">
        <x:f>K640*P640</x:f>
        <x:v>5306</x:v>
      </x:c>
      <x:c r="R640" s="26" t="n">
        <x:f>O640-Q640</x:f>
        <x:v>1308.8499999999995</x:v>
      </x:c>
      <x:c r="S640" s="28" t="n">
        <x:f>IF(O640=0,0,R640/O640)</x:f>
        <x:v>0.19786540889060214</x:v>
      </x:c>
      <x:c r="T640" s="25" t="str">
        <x:v>Cash</x:v>
      </x:c>
      <x:c r="U640" s="25" t="str">
        <x:v>Completed</x:v>
      </x:c>
      <x:c r="V640" s="29" t="n">
        <x:v>5</x:v>
      </x:c>
    </x:row>
    <x:row r="641">
      <x:c r="A641" s="23" t="str">
        <x:v>MAN-2025-00640</x:v>
      </x:c>
      <x:c r="B641" s="24" t="n">
        <x:v>45961</x:v>
      </x:c>
      <x:c r="C641" s="25" t="str">
        <x:v>Mansoura</x:v>
      </x:c>
      <x:c r="D641" s="25" t="str">
        <x:v>Talkha</x:v>
      </x:c>
      <x:c r="E641" s="25" t="str">
        <x:v>Ali Sayed</x:v>
      </x:c>
      <x:c r="F641" s="25" t="str">
        <x:v>Mohamed Adel</x:v>
      </x:c>
      <x:c r="G641" s="25" t="str">
        <x:v>Consumer</x:v>
      </x:c>
      <x:c r="H641" s="25" t="str">
        <x:v>Mobile App</x:v>
      </x:c>
      <x:c r="I641" s="25" t="str">
        <x:v>Furniture</x:v>
      </x:c>
      <x:c r="J641" s="25" t="str">
        <x:v>Office Chair</x:v>
      </x:c>
      <x:c r="K641" s="25" t="n">
        <x:v>2</x:v>
      </x:c>
      <x:c r="L641" s="26" t="n">
        <x:v>3982</x:v>
      </x:c>
      <x:c r="M641" s="27" t="n">
        <x:v>0.05</x:v>
      </x:c>
      <x:c r="N641" s="26" t="n">
        <x:f>K641*L641</x:f>
        <x:v>7964</x:v>
      </x:c>
      <x:c r="O641" s="26" t="n">
        <x:f>N641*(1-M641)</x:f>
        <x:v>7565.799999999999</x:v>
      </x:c>
      <x:c r="P641" s="26" t="n">
        <x:v>2874</x:v>
      </x:c>
      <x:c r="Q641" s="26" t="n">
        <x:f>K641*P641</x:f>
        <x:v>5748</x:v>
      </x:c>
      <x:c r="R641" s="26" t="n">
        <x:f>O641-Q641</x:f>
        <x:v>1817.7999999999993</x:v>
      </x:c>
      <x:c r="S641" s="28" t="n">
        <x:f>IF(O641=0,0,R641/O641)</x:f>
        <x:v>0.2402654048481323</x:v>
      </x:c>
      <x:c r="T641" s="25" t="str">
        <x:v>Credit Card</x:v>
      </x:c>
      <x:c r="U641" s="25" t="str">
        <x:v>Cancelled</x:v>
      </x:c>
      <x:c r="V641" s="29" t="n">
        <x:v>5</x:v>
      </x:c>
    </x:row>
    <x:row r="642">
      <x:c r="A642" s="23" t="str">
        <x:v>MAN-2025-00641</x:v>
      </x:c>
      <x:c r="B642" s="24" t="n">
        <x:v>45988</x:v>
      </x:c>
      <x:c r="C642" s="25" t="str">
        <x:v>Mansoura</x:v>
      </x:c>
      <x:c r="D642" s="25" t="str">
        <x:v>Talkha</x:v>
      </x:c>
      <x:c r="E642" s="25" t="str">
        <x:v>Youssef Fathy</x:v>
      </x:c>
      <x:c r="F642" s="25" t="str">
        <x:v>Farah Mansour</x:v>
      </x:c>
      <x:c r="G642" s="25" t="str">
        <x:v>Consumer</x:v>
      </x:c>
      <x:c r="H642" s="25" t="str">
        <x:v>Mobile App</x:v>
      </x:c>
      <x:c r="I642" s="25" t="str">
        <x:v>Electronics</x:v>
      </x:c>
      <x:c r="J642" s="25" t="str">
        <x:v>Laptop</x:v>
      </x:c>
      <x:c r="K642" s="25" t="n">
        <x:v>6</x:v>
      </x:c>
      <x:c r="L642" s="26" t="n">
        <x:v>24491</x:v>
      </x:c>
      <x:c r="M642" s="27" t="n">
        <x:v>0.1</x:v>
      </x:c>
      <x:c r="N642" s="26" t="n">
        <x:f>K642*L642</x:f>
        <x:v>146946</x:v>
      </x:c>
      <x:c r="O642" s="26" t="n">
        <x:f>N642*(1-M642)</x:f>
        <x:v>132251.4</x:v>
      </x:c>
      <x:c r="P642" s="26" t="n">
        <x:v>20528</x:v>
      </x:c>
      <x:c r="Q642" s="26" t="n">
        <x:f>K642*P642</x:f>
        <x:v>123168</x:v>
      </x:c>
      <x:c r="R642" s="26" t="n">
        <x:f>O642-Q642</x:f>
        <x:v>9083.399999999994</x:v>
      </x:c>
      <x:c r="S642" s="28" t="n">
        <x:f>IF(O642=0,0,R642/O642)</x:f>
        <x:v>0.06868282679805277</x:v>
      </x:c>
      <x:c r="T642" s="25" t="str">
        <x:v>Credit Card</x:v>
      </x:c>
      <x:c r="U642" s="25" t="str">
        <x:v>Returned</x:v>
      </x:c>
      <x:c r="V642" s="29" t="n">
        <x:v>4</x:v>
      </x:c>
    </x:row>
    <x:row r="643">
      <x:c r="A643" s="23" t="str">
        <x:v>MAN-2025-00642</x:v>
      </x:c>
      <x:c r="B643" s="24" t="n">
        <x:v>45924</x:v>
      </x:c>
      <x:c r="C643" s="25" t="str">
        <x:v>Mansoura</x:v>
      </x:c>
      <x:c r="D643" s="25" t="str">
        <x:v>Aga</x:v>
      </x:c>
      <x:c r="E643" s="25" t="str">
        <x:v>Youssef Fathy</x:v>
      </x:c>
      <x:c r="F643" s="25" t="str">
        <x:v>Omar Samir</x:v>
      </x:c>
      <x:c r="G643" s="25" t="str">
        <x:v>Small Business</x:v>
      </x:c>
      <x:c r="H643" s="25" t="str">
        <x:v>Retail Store</x:v>
      </x:c>
      <x:c r="I643" s="25" t="str">
        <x:v>Electronics</x:v>
      </x:c>
      <x:c r="J643" s="25" t="str">
        <x:v>Tablet</x:v>
      </x:c>
      <x:c r="K643" s="25" t="n">
        <x:v>4</x:v>
      </x:c>
      <x:c r="L643" s="26" t="n">
        <x:v>9050</x:v>
      </x:c>
      <x:c r="M643" s="27" t="n">
        <x:v>0.15</x:v>
      </x:c>
      <x:c r="N643" s="26" t="n">
        <x:f>K643*L643</x:f>
        <x:v>36200</x:v>
      </x:c>
      <x:c r="O643" s="26" t="n">
        <x:f>N643*(1-M643)</x:f>
        <x:v>30770</x:v>
      </x:c>
      <x:c r="P643" s="26" t="n">
        <x:v>7509</x:v>
      </x:c>
      <x:c r="Q643" s="26" t="n">
        <x:f>K643*P643</x:f>
        <x:v>30036</x:v>
      </x:c>
      <x:c r="R643" s="26" t="n">
        <x:f>O643-Q643</x:f>
        <x:v>734</x:v>
      </x:c>
      <x:c r="S643" s="28" t="n">
        <x:f>IF(O643=0,0,R643/O643)</x:f>
        <x:v>0.023854403639909004</x:v>
      </x:c>
      <x:c r="T643" s="25" t="str">
        <x:v>Digital Wallet</x:v>
      </x:c>
      <x:c r="U643" s="25" t="str">
        <x:v>Returned</x:v>
      </x:c>
      <x:c r="V643" s="29" t="n">
        <x:v>4</x:v>
      </x:c>
    </x:row>
    <x:row r="644">
      <x:c r="A644" s="23" t="str">
        <x:v>MAN-2025-00643</x:v>
      </x:c>
      <x:c r="B644" s="24" t="n">
        <x:v>45839</x:v>
      </x:c>
      <x:c r="C644" s="25" t="str">
        <x:v>Mansoura</x:v>
      </x:c>
      <x:c r="D644" s="25" t="str">
        <x:v>Sherbin</x:v>
      </x:c>
      <x:c r="E644" s="25" t="str">
        <x:v>Salma Mansour</x:v>
      </x:c>
      <x:c r="F644" s="25" t="str">
        <x:v>Ahmed Samir</x:v>
      </x:c>
      <x:c r="G644" s="25" t="str">
        <x:v>Corporate</x:v>
      </x:c>
      <x:c r="H644" s="25" t="str">
        <x:v>Mobile App</x:v>
      </x:c>
      <x:c r="I644" s="25" t="str">
        <x:v>Office Supplies</x:v>
      </x:c>
      <x:c r="J644" s="25" t="str">
        <x:v>Calculator</x:v>
      </x:c>
      <x:c r="K644" s="25" t="n">
        <x:v>3</x:v>
      </x:c>
      <x:c r="L644" s="26" t="n">
        <x:v>465</x:v>
      </x:c>
      <x:c r="M644" s="27" t="n">
        <x:v>0.15</x:v>
      </x:c>
      <x:c r="N644" s="26" t="n">
        <x:f>K644*L644</x:f>
        <x:v>1395</x:v>
      </x:c>
      <x:c r="O644" s="26" t="n">
        <x:f>N644*(1-M644)</x:f>
        <x:v>1185.75</x:v>
      </x:c>
      <x:c r="P644" s="26" t="n">
        <x:v>278</x:v>
      </x:c>
      <x:c r="Q644" s="26" t="n">
        <x:f>K644*P644</x:f>
        <x:v>834</x:v>
      </x:c>
      <x:c r="R644" s="26" t="n">
        <x:f>O644-Q644</x:f>
        <x:v>351.75</x:v>
      </x:c>
      <x:c r="S644" s="28" t="n">
        <x:f>IF(O644=0,0,R644/O644)</x:f>
        <x:v>0.29664769133459834</x:v>
      </x:c>
      <x:c r="T644" s="25" t="str">
        <x:v>Digital Wallet</x:v>
      </x:c>
      <x:c r="U644" s="25" t="str">
        <x:v>Completed</x:v>
      </x:c>
      <x:c r="V644" s="29" t="n">
        <x:v>4</x:v>
      </x:c>
    </x:row>
    <x:row r="645">
      <x:c r="A645" s="23" t="str">
        <x:v>MAN-2025-00644</x:v>
      </x:c>
      <x:c r="B645" s="24" t="n">
        <x:v>45669</x:v>
      </x:c>
      <x:c r="C645" s="25" t="str">
        <x:v>Mansoura</x:v>
      </x:c>
      <x:c r="D645" s="25" t="str">
        <x:v>Sherbin</x:v>
      </x:c>
      <x:c r="E645" s="25" t="str">
        <x:v>Youssef Fathy</x:v>
      </x:c>
      <x:c r="F645" s="25" t="str">
        <x:v>Sara Adel</x:v>
      </x:c>
      <x:c r="G645" s="25" t="str">
        <x:v>Corporate</x:v>
      </x:c>
      <x:c r="H645" s="25" t="str">
        <x:v>Retail Store</x:v>
      </x:c>
      <x:c r="I645" s="25" t="str">
        <x:v>Furniture</x:v>
      </x:c>
      <x:c r="J645" s="25" t="str">
        <x:v>Desk</x:v>
      </x:c>
      <x:c r="K645" s="25" t="n">
        <x:v>6</x:v>
      </x:c>
      <x:c r="L645" s="26" t="n">
        <x:v>5449</x:v>
      </x:c>
      <x:c r="M645" s="27" t="n">
        <x:v>0</x:v>
      </x:c>
      <x:c r="N645" s="26" t="n">
        <x:f>K645*L645</x:f>
        <x:v>32694</x:v>
      </x:c>
      <x:c r="O645" s="26" t="n">
        <x:f>N645*(1-M645)</x:f>
        <x:v>32694</x:v>
      </x:c>
      <x:c r="P645" s="26" t="n">
        <x:v>3793</x:v>
      </x:c>
      <x:c r="Q645" s="26" t="n">
        <x:f>K645*P645</x:f>
        <x:v>22758</x:v>
      </x:c>
      <x:c r="R645" s="26" t="n">
        <x:f>O645-Q645</x:f>
        <x:v>9936</x:v>
      </x:c>
      <x:c r="S645" s="28" t="n">
        <x:f>IF(O645=0,0,R645/O645)</x:f>
        <x:v>0.30390897412369244</x:v>
      </x:c>
      <x:c r="T645" s="25" t="str">
        <x:v>Bank Transfer</x:v>
      </x:c>
      <x:c r="U645" s="25" t="str">
        <x:v>Completed</x:v>
      </x:c>
      <x:c r="V645" s="29" t="n">
        <x:v>4</x:v>
      </x:c>
    </x:row>
    <x:row r="646">
      <x:c r="A646" s="23" t="str">
        <x:v>MAN-2025-00645</x:v>
      </x:c>
      <x:c r="B646" s="24" t="n">
        <x:v>45962</x:v>
      </x:c>
      <x:c r="C646" s="25" t="str">
        <x:v>Mansoura</x:v>
      </x:c>
      <x:c r="D646" s="25" t="str">
        <x:v>Mansoura City</x:v>
      </x:c>
      <x:c r="E646" s="25" t="str">
        <x:v>Youssef Fathy</x:v>
      </x:c>
      <x:c r="F646" s="25" t="str">
        <x:v>Karim Hassan</x:v>
      </x:c>
      <x:c r="G646" s="25" t="str">
        <x:v>Consumer</x:v>
      </x:c>
      <x:c r="H646" s="25" t="str">
        <x:v>Retail Store</x:v>
      </x:c>
      <x:c r="I646" s="25" t="str">
        <x:v>Electronics</x:v>
      </x:c>
      <x:c r="J646" s="25" t="str">
        <x:v>Laptop</x:v>
      </x:c>
      <x:c r="K646" s="25" t="n">
        <x:v>2</x:v>
      </x:c>
      <x:c r="L646" s="26" t="n">
        <x:v>25679</x:v>
      </x:c>
      <x:c r="M646" s="27" t="n">
        <x:v>0.1</x:v>
      </x:c>
      <x:c r="N646" s="26" t="n">
        <x:f>K646*L646</x:f>
        <x:v>51358</x:v>
      </x:c>
      <x:c r="O646" s="26" t="n">
        <x:f>N646*(1-M646)</x:f>
        <x:v>46222.200000000004</x:v>
      </x:c>
      <x:c r="P646" s="26" t="n">
        <x:v>20886</x:v>
      </x:c>
      <x:c r="Q646" s="26" t="n">
        <x:f>K646*P646</x:f>
        <x:v>41772</x:v>
      </x:c>
      <x:c r="R646" s="26" t="n">
        <x:f>O646-Q646</x:f>
        <x:v>4450.200000000004</x:v>
      </x:c>
      <x:c r="S646" s="28" t="n">
        <x:f>IF(O646=0,0,R646/O646)</x:f>
        <x:v>0.0962784116723134</x:v>
      </x:c>
      <x:c r="T646" s="25" t="str">
        <x:v>Credit Card</x:v>
      </x:c>
      <x:c r="U646" s="25" t="str">
        <x:v>Cancelled</x:v>
      </x:c>
      <x:c r="V646" s="29" t="n">
        <x:v>4</x:v>
      </x:c>
    </x:row>
    <x:row r="647">
      <x:c r="A647" s="23" t="str">
        <x:v>MAN-2025-00646</x:v>
      </x:c>
      <x:c r="B647" s="24" t="n">
        <x:v>45861</x:v>
      </x:c>
      <x:c r="C647" s="25" t="str">
        <x:v>Mansoura</x:v>
      </x:c>
      <x:c r="D647" s="25" t="str">
        <x:v>Talkha</x:v>
      </x:c>
      <x:c r="E647" s="25" t="str">
        <x:v>Youssef Fathy</x:v>
      </x:c>
      <x:c r="F647" s="25" t="str">
        <x:v>Salma Nasser</x:v>
      </x:c>
      <x:c r="G647" s="25" t="str">
        <x:v>Corporate</x:v>
      </x:c>
      <x:c r="H647" s="25" t="str">
        <x:v>Website</x:v>
      </x:c>
      <x:c r="I647" s="25" t="str">
        <x:v>Furniture</x:v>
      </x:c>
      <x:c r="J647" s="25" t="str">
        <x:v>Desk</x:v>
      </x:c>
      <x:c r="K647" s="25" t="n">
        <x:v>5</x:v>
      </x:c>
      <x:c r="L647" s="26" t="n">
        <x:v>4848</x:v>
      </x:c>
      <x:c r="M647" s="27" t="n">
        <x:v>0.05</x:v>
      </x:c>
      <x:c r="N647" s="26" t="n">
        <x:f>K647*L647</x:f>
        <x:v>24240</x:v>
      </x:c>
      <x:c r="O647" s="26" t="n">
        <x:f>N647*(1-M647)</x:f>
        <x:v>23028</x:v>
      </x:c>
      <x:c r="P647" s="26" t="n">
        <x:v>3791</x:v>
      </x:c>
      <x:c r="Q647" s="26" t="n">
        <x:f>K647*P647</x:f>
        <x:v>18955</x:v>
      </x:c>
      <x:c r="R647" s="26" t="n">
        <x:f>O647-Q647</x:f>
        <x:v>4073</x:v>
      </x:c>
      <x:c r="S647" s="28" t="n">
        <x:f>IF(O647=0,0,R647/O647)</x:f>
        <x:v>0.17687163453187424</x:v>
      </x:c>
      <x:c r="T647" s="25" t="str">
        <x:v>Debit Card</x:v>
      </x:c>
      <x:c r="U647" s="25" t="str">
        <x:v>Cancelled</x:v>
      </x:c>
      <x:c r="V647" s="29" t="n">
        <x:v>5</x:v>
      </x:c>
    </x:row>
    <x:row r="648">
      <x:c r="A648" s="23" t="str">
        <x:v>MAN-2025-00647</x:v>
      </x:c>
      <x:c r="B648" s="24" t="n">
        <x:v>45752</x:v>
      </x:c>
      <x:c r="C648" s="25" t="str">
        <x:v>Mansoura</x:v>
      </x:c>
      <x:c r="D648" s="25" t="str">
        <x:v>Sherbin</x:v>
      </x:c>
      <x:c r="E648" s="25" t="str">
        <x:v>Ali Sayed</x:v>
      </x:c>
      <x:c r="F648" s="25" t="str">
        <x:v>Mostafa Adel</x:v>
      </x:c>
      <x:c r="G648" s="25" t="str">
        <x:v>Consumer</x:v>
      </x:c>
      <x:c r="H648" s="25" t="str">
        <x:v>Website</x:v>
      </x:c>
      <x:c r="I648" s="25" t="str">
        <x:v>Electronics</x:v>
      </x:c>
      <x:c r="J648" s="25" t="str">
        <x:v>Tablet</x:v>
      </x:c>
      <x:c r="K648" s="25" t="n">
        <x:v>2</x:v>
      </x:c>
      <x:c r="L648" s="26" t="n">
        <x:v>8607</x:v>
      </x:c>
      <x:c r="M648" s="27" t="n">
        <x:v>0.1</x:v>
      </x:c>
      <x:c r="N648" s="26" t="n">
        <x:f>K648*L648</x:f>
        <x:v>17214</x:v>
      </x:c>
      <x:c r="O648" s="26" t="n">
        <x:f>N648*(1-M648)</x:f>
        <x:v>15492.6</x:v>
      </x:c>
      <x:c r="P648" s="26" t="n">
        <x:v>7130</x:v>
      </x:c>
      <x:c r="Q648" s="26" t="n">
        <x:f>K648*P648</x:f>
        <x:v>14260</x:v>
      </x:c>
      <x:c r="R648" s="26" t="n">
        <x:f>O648-Q648</x:f>
        <x:v>1232.6000000000004</x:v>
      </x:c>
      <x:c r="S648" s="28" t="n">
        <x:f>IF(O648=0,0,R648/O648)</x:f>
        <x:v>0.07956056439848704</x:v>
      </x:c>
      <x:c r="T648" s="25" t="str">
        <x:v>Credit Card</x:v>
      </x:c>
      <x:c r="U648" s="25" t="str">
        <x:v>Completed</x:v>
      </x:c>
      <x:c r="V648" s="29" t="n">
        <x:v>5</x:v>
      </x:c>
    </x:row>
    <x:row r="649">
      <x:c r="A649" s="23" t="str">
        <x:v>MAN-2025-00648</x:v>
      </x:c>
      <x:c r="B649" s="24" t="n">
        <x:v>45840</x:v>
      </x:c>
      <x:c r="C649" s="25" t="str">
        <x:v>Mansoura</x:v>
      </x:c>
      <x:c r="D649" s="25" t="str">
        <x:v>Sherbin</x:v>
      </x:c>
      <x:c r="E649" s="25" t="str">
        <x:v>Ali Sayed</x:v>
      </x:c>
      <x:c r="F649" s="25" t="str">
        <x:v>Youssef Samir</x:v>
      </x:c>
      <x:c r="G649" s="25" t="str">
        <x:v>Consumer</x:v>
      </x:c>
      <x:c r="H649" s="25" t="str">
        <x:v>Retail Store</x:v>
      </x:c>
      <x:c r="I649" s="25" t="str">
        <x:v>Furniture</x:v>
      </x:c>
      <x:c r="J649" s="25" t="str">
        <x:v>Bookshelf</x:v>
      </x:c>
      <x:c r="K649" s="25" t="n">
        <x:v>4</x:v>
      </x:c>
      <x:c r="L649" s="26" t="n">
        <x:v>3014</x:v>
      </x:c>
      <x:c r="M649" s="27" t="n">
        <x:v>0</x:v>
      </x:c>
      <x:c r="N649" s="26" t="n">
        <x:f>K649*L649</x:f>
        <x:v>12056</x:v>
      </x:c>
      <x:c r="O649" s="26" t="n">
        <x:f>N649*(1-M649)</x:f>
        <x:v>12056</x:v>
      </x:c>
      <x:c r="P649" s="26" t="n">
        <x:v>2256</x:v>
      </x:c>
      <x:c r="Q649" s="26" t="n">
        <x:f>K649*P649</x:f>
        <x:v>9024</x:v>
      </x:c>
      <x:c r="R649" s="26" t="n">
        <x:f>O649-Q649</x:f>
        <x:v>3032</x:v>
      </x:c>
      <x:c r="S649" s="28" t="n">
        <x:f>IF(O649=0,0,R649/O649)</x:f>
        <x:v>0.2514930325149303</x:v>
      </x:c>
      <x:c r="T649" s="25" t="str">
        <x:v>Debit Card</x:v>
      </x:c>
      <x:c r="U649" s="25" t="str">
        <x:v>Completed</x:v>
      </x:c>
      <x:c r="V649" s="29" t="n">
        <x:v>3</x:v>
      </x:c>
    </x:row>
    <x:row r="650">
      <x:c r="A650" s="23" t="str">
        <x:v>MAN-2025-00649</x:v>
      </x:c>
      <x:c r="B650" s="24" t="n">
        <x:v>46006</x:v>
      </x:c>
      <x:c r="C650" s="25" t="str">
        <x:v>Mansoura</x:v>
      </x:c>
      <x:c r="D650" s="25" t="str">
        <x:v>Mansoura City</x:v>
      </x:c>
      <x:c r="E650" s="25" t="str">
        <x:v>Youssef Fathy</x:v>
      </x:c>
      <x:c r="F650" s="25" t="str">
        <x:v>Karim Sayed</x:v>
      </x:c>
      <x:c r="G650" s="25" t="str">
        <x:v>Consumer</x:v>
      </x:c>
      <x:c r="H650" s="25" t="str">
        <x:v>Phone Order</x:v>
      </x:c>
      <x:c r="I650" s="25" t="str">
        <x:v>Office Supplies</x:v>
      </x:c>
      <x:c r="J650" s="25" t="str">
        <x:v>Printer</x:v>
      </x:c>
      <x:c r="K650" s="25" t="n">
        <x:v>3</x:v>
      </x:c>
      <x:c r="L650" s="26" t="n">
        <x:v>6948</x:v>
      </x:c>
      <x:c r="M650" s="27" t="n">
        <x:v>0.15</x:v>
      </x:c>
      <x:c r="N650" s="26" t="n">
        <x:f>K650*L650</x:f>
        <x:v>20844</x:v>
      </x:c>
      <x:c r="O650" s="26" t="n">
        <x:f>N650*(1-M650)</x:f>
        <x:v>17717.399999999998</x:v>
      </x:c>
      <x:c r="P650" s="26" t="n">
        <x:v>5511</x:v>
      </x:c>
      <x:c r="Q650" s="26" t="n">
        <x:f>K650*P650</x:f>
        <x:v>16533</x:v>
      </x:c>
      <x:c r="R650" s="26" t="n">
        <x:f>O650-Q650</x:f>
        <x:v>1184.3999999999978</x:v>
      </x:c>
      <x:c r="S650" s="28" t="n">
        <x:f>IF(O650=0,0,R650/O650)</x:f>
        <x:v>0.06684953774255804</x:v>
      </x:c>
      <x:c r="T650" s="25" t="str">
        <x:v>Bank Transfer</x:v>
      </x:c>
      <x:c r="U650" s="25" t="str">
        <x:v>Returned</x:v>
      </x:c>
      <x:c r="V650" s="29" t="n">
        <x:v>5</x:v>
      </x:c>
    </x:row>
    <x:row r="651">
      <x:c r="A651" s="23" t="str">
        <x:v>MAN-2025-00650</x:v>
      </x:c>
      <x:c r="B651" s="24" t="n">
        <x:v>45742</x:v>
      </x:c>
      <x:c r="C651" s="25" t="str">
        <x:v>Mansoura</x:v>
      </x:c>
      <x:c r="D651" s="25" t="str">
        <x:v>Aga</x:v>
      </x:c>
      <x:c r="E651" s="25" t="str">
        <x:v>Youssef Fathy</x:v>
      </x:c>
      <x:c r="F651" s="25" t="str">
        <x:v>Amr Nasser</x:v>
      </x:c>
      <x:c r="G651" s="25" t="str">
        <x:v>Consumer</x:v>
      </x:c>
      <x:c r="H651" s="25" t="str">
        <x:v>Retail Store</x:v>
      </x:c>
      <x:c r="I651" s="25" t="str">
        <x:v>Furniture</x:v>
      </x:c>
      <x:c r="J651" s="25" t="str">
        <x:v>Office Chair</x:v>
      </x:c>
      <x:c r="K651" s="25" t="n">
        <x:v>1</x:v>
      </x:c>
      <x:c r="L651" s="26" t="n">
        <x:v>3718</x:v>
      </x:c>
      <x:c r="M651" s="27" t="n">
        <x:v>0.1</x:v>
      </x:c>
      <x:c r="N651" s="26" t="n">
        <x:f>K651*L651</x:f>
        <x:v>3718</x:v>
      </x:c>
      <x:c r="O651" s="26" t="n">
        <x:f>N651*(1-M651)</x:f>
        <x:v>3346.2000000000003</x:v>
      </x:c>
      <x:c r="P651" s="26" t="n">
        <x:v>2793</x:v>
      </x:c>
      <x:c r="Q651" s="26" t="n">
        <x:f>K651*P651</x:f>
        <x:v>2793</x:v>
      </x:c>
      <x:c r="R651" s="26" t="n">
        <x:f>O651-Q651</x:f>
        <x:v>553.2000000000003</x:v>
      </x:c>
      <x:c r="S651" s="28" t="n">
        <x:f>IF(O651=0,0,R651/O651)</x:f>
        <x:v>0.16532185762955</x:v>
      </x:c>
      <x:c r="T651" s="25" t="str">
        <x:v>Cash</x:v>
      </x:c>
      <x:c r="U651" s="25" t="str">
        <x:v>Returned</x:v>
      </x:c>
      <x:c r="V651" s="29" t="n">
        <x:v>5</x:v>
      </x:c>
    </x:row>
    <x:row r="652">
      <x:c r="A652" s="23" t="str">
        <x:v>MAN-2025-00651</x:v>
      </x:c>
      <x:c r="B652" s="24" t="n">
        <x:v>46015</x:v>
      </x:c>
      <x:c r="C652" s="25" t="str">
        <x:v>Mansoura</x:v>
      </x:c>
      <x:c r="D652" s="25" t="str">
        <x:v>Mansoura City</x:v>
      </x:c>
      <x:c r="E652" s="25" t="str">
        <x:v>Youssef Fathy</x:v>
      </x:c>
      <x:c r="F652" s="25" t="str">
        <x:v>Ahmed Fathy</x:v>
      </x:c>
      <x:c r="G652" s="25" t="str">
        <x:v>Consumer</x:v>
      </x:c>
      <x:c r="H652" s="25" t="str">
        <x:v>Mobile App</x:v>
      </x:c>
      <x:c r="I652" s="25" t="str">
        <x:v>Furniture</x:v>
      </x:c>
      <x:c r="J652" s="25" t="str">
        <x:v>Sofa</x:v>
      </x:c>
      <x:c r="K652" s="25" t="n">
        <x:v>5</x:v>
      </x:c>
      <x:c r="L652" s="26" t="n">
        <x:v>13414</x:v>
      </x:c>
      <x:c r="M652" s="27" t="n">
        <x:v>0</x:v>
      </x:c>
      <x:c r="N652" s="26" t="n">
        <x:f>K652*L652</x:f>
        <x:v>67070</x:v>
      </x:c>
      <x:c r="O652" s="26" t="n">
        <x:f>N652*(1-M652)</x:f>
        <x:v>67070</x:v>
      </x:c>
      <x:c r="P652" s="26" t="n">
        <x:v>10590</x:v>
      </x:c>
      <x:c r="Q652" s="26" t="n">
        <x:f>K652*P652</x:f>
        <x:v>52950</x:v>
      </x:c>
      <x:c r="R652" s="26" t="n">
        <x:f>O652-Q652</x:f>
        <x:v>14120</x:v>
      </x:c>
      <x:c r="S652" s="28" t="n">
        <x:f>IF(O652=0,0,R652/O652)</x:f>
        <x:v>0.21052631578947367</x:v>
      </x:c>
      <x:c r="T652" s="25" t="str">
        <x:v>Credit Card</x:v>
      </x:c>
      <x:c r="U652" s="25" t="str">
        <x:v>Completed</x:v>
      </x:c>
      <x:c r="V652" s="29" t="n">
        <x:v>5</x:v>
      </x:c>
    </x:row>
    <x:row r="653">
      <x:c r="A653" s="23" t="str">
        <x:v>MAN-2025-00652</x:v>
      </x:c>
      <x:c r="B653" s="24" t="n">
        <x:v>46021</x:v>
      </x:c>
      <x:c r="C653" s="25" t="str">
        <x:v>Mansoura</x:v>
      </x:c>
      <x:c r="D653" s="25" t="str">
        <x:v>Aga</x:v>
      </x:c>
      <x:c r="E653" s="25" t="str">
        <x:v>Salma Mansour</x:v>
      </x:c>
      <x:c r="F653" s="25" t="str">
        <x:v>Sara Fathy</x:v>
      </x:c>
      <x:c r="G653" s="25" t="str">
        <x:v>Small Business</x:v>
      </x:c>
      <x:c r="H653" s="25" t="str">
        <x:v>Website</x:v>
      </x:c>
      <x:c r="I653" s="25" t="str">
        <x:v>Office Supplies</x:v>
      </x:c>
      <x:c r="J653" s="25" t="str">
        <x:v>Paper Box</x:v>
      </x:c>
      <x:c r="K653" s="25" t="n">
        <x:v>6</x:v>
      </x:c>
      <x:c r="L653" s="26" t="n">
        <x:v>397</x:v>
      </x:c>
      <x:c r="M653" s="27" t="n">
        <x:v>0.15</x:v>
      </x:c>
      <x:c r="N653" s="26" t="n">
        <x:f>K653*L653</x:f>
        <x:v>2382</x:v>
      </x:c>
      <x:c r="O653" s="26" t="n">
        <x:f>N653*(1-M653)</x:f>
        <x:v>2024.7</x:v>
      </x:c>
      <x:c r="P653" s="26" t="n">
        <x:v>262</x:v>
      </x:c>
      <x:c r="Q653" s="26" t="n">
        <x:f>K653*P653</x:f>
        <x:v>1572</x:v>
      </x:c>
      <x:c r="R653" s="26" t="n">
        <x:f>O653-Q653</x:f>
        <x:v>452.70000000000005</x:v>
      </x:c>
      <x:c r="S653" s="28" t="n">
        <x:f>IF(O653=0,0,R653/O653)</x:f>
        <x:v>0.2235886798044155</x:v>
      </x:c>
      <x:c r="T653" s="25" t="str">
        <x:v>Bank Transfer</x:v>
      </x:c>
      <x:c r="U653" s="25" t="str">
        <x:v>Returned</x:v>
      </x:c>
      <x:c r="V653" s="29" t="n">
        <x:v>5</x:v>
      </x:c>
    </x:row>
    <x:row r="654">
      <x:c r="A654" s="23" t="str">
        <x:v>MAN-2025-00653</x:v>
      </x:c>
      <x:c r="B654" s="24" t="n">
        <x:v>45667</x:v>
      </x:c>
      <x:c r="C654" s="25" t="str">
        <x:v>Mansoura</x:v>
      </x:c>
      <x:c r="D654" s="25" t="str">
        <x:v>Talkha</x:v>
      </x:c>
      <x:c r="E654" s="25" t="str">
        <x:v>Ali Sayed</x:v>
      </x:c>
      <x:c r="F654" s="25" t="str">
        <x:v>Salma Fathy</x:v>
      </x:c>
      <x:c r="G654" s="25" t="str">
        <x:v>Small Business</x:v>
      </x:c>
      <x:c r="H654" s="25" t="str">
        <x:v>Website</x:v>
      </x:c>
      <x:c r="I654" s="25" t="str">
        <x:v>Furniture</x:v>
      </x:c>
      <x:c r="J654" s="25" t="str">
        <x:v>Sofa</x:v>
      </x:c>
      <x:c r="K654" s="25" t="n">
        <x:v>6</x:v>
      </x:c>
      <x:c r="L654" s="26" t="n">
        <x:v>12855</x:v>
      </x:c>
      <x:c r="M654" s="27" t="n">
        <x:v>0.05</x:v>
      </x:c>
      <x:c r="N654" s="26" t="n">
        <x:f>K654*L654</x:f>
        <x:v>77130</x:v>
      </x:c>
      <x:c r="O654" s="26" t="n">
        <x:f>N654*(1-M654)</x:f>
        <x:v>73273.5</x:v>
      </x:c>
      <x:c r="P654" s="26" t="n">
        <x:v>10649</x:v>
      </x:c>
      <x:c r="Q654" s="26" t="n">
        <x:f>K654*P654</x:f>
        <x:v>63894</x:v>
      </x:c>
      <x:c r="R654" s="26" t="n">
        <x:f>O654-Q654</x:f>
        <x:v>9379.5</x:v>
      </x:c>
      <x:c r="S654" s="28" t="n">
        <x:f>IF(O654=0,0,R654/O654)</x:f>
        <x:v>0.1280067145693873</x:v>
      </x:c>
      <x:c r="T654" s="25" t="str">
        <x:v>Bank Transfer</x:v>
      </x:c>
      <x:c r="U654" s="25" t="str">
        <x:v>Completed</x:v>
      </x:c>
      <x:c r="V654" s="29" t="n">
        <x:v>4</x:v>
      </x:c>
    </x:row>
    <x:row r="655">
      <x:c r="A655" s="23" t="str">
        <x:v>MAN-2025-00654</x:v>
      </x:c>
      <x:c r="B655" s="24" t="n">
        <x:v>45935</x:v>
      </x:c>
      <x:c r="C655" s="25" t="str">
        <x:v>Mansoura</x:v>
      </x:c>
      <x:c r="D655" s="25" t="str">
        <x:v>Talkha</x:v>
      </x:c>
      <x:c r="E655" s="25" t="str">
        <x:v>Youssef Fathy</x:v>
      </x:c>
      <x:c r="F655" s="25" t="str">
        <x:v>Mostafa Khalil</x:v>
      </x:c>
      <x:c r="G655" s="25" t="str">
        <x:v>Corporate</x:v>
      </x:c>
      <x:c r="H655" s="25" t="str">
        <x:v>Retail Store</x:v>
      </x:c>
      <x:c r="I655" s="25" t="str">
        <x:v>Furniture</x:v>
      </x:c>
      <x:c r="J655" s="25" t="str">
        <x:v>Desk</x:v>
      </x:c>
      <x:c r="K655" s="25" t="n">
        <x:v>4</x:v>
      </x:c>
      <x:c r="L655" s="26" t="n">
        <x:v>5147</x:v>
      </x:c>
      <x:c r="M655" s="27" t="n">
        <x:v>0.15</x:v>
      </x:c>
      <x:c r="N655" s="26" t="n">
        <x:f>K655*L655</x:f>
        <x:v>20588</x:v>
      </x:c>
      <x:c r="O655" s="26" t="n">
        <x:f>N655*(1-M655)</x:f>
        <x:v>17499.8</x:v>
      </x:c>
      <x:c r="P655" s="26" t="n">
        <x:v>3863</x:v>
      </x:c>
      <x:c r="Q655" s="26" t="n">
        <x:f>K655*P655</x:f>
        <x:v>15452</x:v>
      </x:c>
      <x:c r="R655" s="26" t="n">
        <x:f>O655-Q655</x:f>
        <x:v>2047.7999999999993</x:v>
      </x:c>
      <x:c r="S655" s="28" t="n">
        <x:f>IF(O655=0,0,R655/O655)</x:f>
        <x:v>0.11701848021120238</x:v>
      </x:c>
      <x:c r="T655" s="25" t="str">
        <x:v>Cash</x:v>
      </x:c>
      <x:c r="U655" s="25" t="str">
        <x:v>Completed</x:v>
      </x:c>
      <x:c r="V655" s="29" t="n">
        <x:v>5</x:v>
      </x:c>
    </x:row>
    <x:row r="656">
      <x:c r="A656" s="23" t="str">
        <x:v>MAN-2025-00655</x:v>
      </x:c>
      <x:c r="B656" s="24" t="n">
        <x:v>45911</x:v>
      </x:c>
      <x:c r="C656" s="25" t="str">
        <x:v>Mansoura</x:v>
      </x:c>
      <x:c r="D656" s="25" t="str">
        <x:v>Sherbin</x:v>
      </x:c>
      <x:c r="E656" s="25" t="str">
        <x:v>Aya Farouk</x:v>
      </x:c>
      <x:c r="F656" s="25" t="str">
        <x:v>Ali Hassan</x:v>
      </x:c>
      <x:c r="G656" s="25" t="str">
        <x:v>Corporate</x:v>
      </x:c>
      <x:c r="H656" s="25" t="str">
        <x:v>Retail Store</x:v>
      </x:c>
      <x:c r="I656" s="25" t="str">
        <x:v>Furniture</x:v>
      </x:c>
      <x:c r="J656" s="25" t="str">
        <x:v>Bookshelf</x:v>
      </x:c>
      <x:c r="K656" s="25" t="n">
        <x:v>1</x:v>
      </x:c>
      <x:c r="L656" s="26" t="n">
        <x:v>3085</x:v>
      </x:c>
      <x:c r="M656" s="27" t="n">
        <x:v>0.15</x:v>
      </x:c>
      <x:c r="N656" s="26" t="n">
        <x:f>K656*L656</x:f>
        <x:v>3085</x:v>
      </x:c>
      <x:c r="O656" s="26" t="n">
        <x:f>N656*(1-M656)</x:f>
        <x:v>2622.25</x:v>
      </x:c>
      <x:c r="P656" s="26" t="n">
        <x:v>2205</x:v>
      </x:c>
      <x:c r="Q656" s="26" t="n">
        <x:f>K656*P656</x:f>
        <x:v>2205</x:v>
      </x:c>
      <x:c r="R656" s="26" t="n">
        <x:f>O656-Q656</x:f>
        <x:v>417.25</x:v>
      </x:c>
      <x:c r="S656" s="28" t="n">
        <x:f>IF(O656=0,0,R656/O656)</x:f>
        <x:v>0.15911907712842024</x:v>
      </x:c>
      <x:c r="T656" s="25" t="str">
        <x:v>Debit Card</x:v>
      </x:c>
      <x:c r="U656" s="25" t="str">
        <x:v>Completed</x:v>
      </x:c>
      <x:c r="V656" s="29" t="n">
        <x:v>4</x:v>
      </x:c>
    </x:row>
    <x:row r="657">
      <x:c r="A657" s="23" t="str">
        <x:v>MAN-2025-00656</x:v>
      </x:c>
      <x:c r="B657" s="24" t="n">
        <x:v>45955</x:v>
      </x:c>
      <x:c r="C657" s="25" t="str">
        <x:v>Mansoura</x:v>
      </x:c>
      <x:c r="D657" s="25" t="str">
        <x:v>Mansoura City</x:v>
      </x:c>
      <x:c r="E657" s="25" t="str">
        <x:v>Youssef Fathy</x:v>
      </x:c>
      <x:c r="F657" s="25" t="str">
        <x:v>Mostafa Nasser</x:v>
      </x:c>
      <x:c r="G657" s="25" t="str">
        <x:v>Small Business</x:v>
      </x:c>
      <x:c r="H657" s="25" t="str">
        <x:v>Website</x:v>
      </x:c>
      <x:c r="I657" s="25" t="str">
        <x:v>Furniture</x:v>
      </x:c>
      <x:c r="J657" s="25" t="str">
        <x:v>Office Chair</x:v>
      </x:c>
      <x:c r="K657" s="25" t="n">
        <x:v>4</x:v>
      </x:c>
      <x:c r="L657" s="26" t="n">
        <x:v>4084</x:v>
      </x:c>
      <x:c r="M657" s="27" t="n">
        <x:v>0.1</x:v>
      </x:c>
      <x:c r="N657" s="26" t="n">
        <x:f>K657*L657</x:f>
        <x:v>16336</x:v>
      </x:c>
      <x:c r="O657" s="26" t="n">
        <x:f>N657*(1-M657)</x:f>
        <x:v>14702.4</x:v>
      </x:c>
      <x:c r="P657" s="26" t="n">
        <x:v>2943</x:v>
      </x:c>
      <x:c r="Q657" s="26" t="n">
        <x:f>K657*P657</x:f>
        <x:v>11772</x:v>
      </x:c>
      <x:c r="R657" s="26" t="n">
        <x:f>O657-Q657</x:f>
        <x:v>2930.3999999999996</x:v>
      </x:c>
      <x:c r="S657" s="28" t="n">
        <x:f>IF(O657=0,0,R657/O657)</x:f>
        <x:v>0.19931439764936335</x:v>
      </x:c>
      <x:c r="T657" s="25" t="str">
        <x:v>Digital Wallet</x:v>
      </x:c>
      <x:c r="U657" s="25" t="str">
        <x:v>Completed</x:v>
      </x:c>
      <x:c r="V657" s="29" t="n">
        <x:v>5</x:v>
      </x:c>
    </x:row>
    <x:row r="658">
      <x:c r="A658" s="23" t="str">
        <x:v>MAN-2025-00657</x:v>
      </x:c>
      <x:c r="B658" s="24" t="n">
        <x:v>45941</x:v>
      </x:c>
      <x:c r="C658" s="25" t="str">
        <x:v>Mansoura</x:v>
      </x:c>
      <x:c r="D658" s="25" t="str">
        <x:v>Mansoura City</x:v>
      </x:c>
      <x:c r="E658" s="25" t="str">
        <x:v>Ali Sayed</x:v>
      </x:c>
      <x:c r="F658" s="25" t="str">
        <x:v>Karim Tarek</x:v>
      </x:c>
      <x:c r="G658" s="25" t="str">
        <x:v>Consumer</x:v>
      </x:c>
      <x:c r="H658" s="25" t="str">
        <x:v>Website</x:v>
      </x:c>
      <x:c r="I658" s="25" t="str">
        <x:v>Furniture</x:v>
      </x:c>
      <x:c r="J658" s="25" t="str">
        <x:v>Desk</x:v>
      </x:c>
      <x:c r="K658" s="25" t="n">
        <x:v>4</x:v>
      </x:c>
      <x:c r="L658" s="26" t="n">
        <x:v>4863</x:v>
      </x:c>
      <x:c r="M658" s="27" t="n">
        <x:v>0.1</x:v>
      </x:c>
      <x:c r="N658" s="26" t="n">
        <x:f>K658*L658</x:f>
        <x:v>19452</x:v>
      </x:c>
      <x:c r="O658" s="26" t="n">
        <x:f>N658*(1-M658)</x:f>
        <x:v>17506.8</x:v>
      </x:c>
      <x:c r="P658" s="26" t="n">
        <x:v>3812</x:v>
      </x:c>
      <x:c r="Q658" s="26" t="n">
        <x:f>K658*P658</x:f>
        <x:v>15248</x:v>
      </x:c>
      <x:c r="R658" s="26" t="n">
        <x:f>O658-Q658</x:f>
        <x:v>2258.7999999999993</x:v>
      </x:c>
      <x:c r="S658" s="28" t="n">
        <x:f>IF(O658=0,0,R658/O658)</x:f>
        <x:v>0.1290241506157607</x:v>
      </x:c>
      <x:c r="T658" s="25" t="str">
        <x:v>Credit Card</x:v>
      </x:c>
      <x:c r="U658" s="25" t="str">
        <x:v>Completed</x:v>
      </x:c>
      <x:c r="V658" s="29" t="n">
        <x:v>5</x:v>
      </x:c>
    </x:row>
    <x:row r="659">
      <x:c r="A659" s="23" t="str">
        <x:v>MAN-2025-00658</x:v>
      </x:c>
      <x:c r="B659" s="24" t="n">
        <x:v>45833</x:v>
      </x:c>
      <x:c r="C659" s="25" t="str">
        <x:v>Mansoura</x:v>
      </x:c>
      <x:c r="D659" s="25" t="str">
        <x:v>Aga</x:v>
      </x:c>
      <x:c r="E659" s="25" t="str">
        <x:v>Ali Sayed</x:v>
      </x:c>
      <x:c r="F659" s="25" t="str">
        <x:v>Hana Ibrahim</x:v>
      </x:c>
      <x:c r="G659" s="25" t="str">
        <x:v>Consumer</x:v>
      </x:c>
      <x:c r="H659" s="25" t="str">
        <x:v>Retail Store</x:v>
      </x:c>
      <x:c r="I659" s="25" t="str">
        <x:v>Furniture</x:v>
      </x:c>
      <x:c r="J659" s="25" t="str">
        <x:v>Desk</x:v>
      </x:c>
      <x:c r="K659" s="25" t="n">
        <x:v>6</x:v>
      </x:c>
      <x:c r="L659" s="26" t="n">
        <x:v>5218</x:v>
      </x:c>
      <x:c r="M659" s="27" t="n">
        <x:v>0.05</x:v>
      </x:c>
      <x:c r="N659" s="26" t="n">
        <x:f>K659*L659</x:f>
        <x:v>31308</x:v>
      </x:c>
      <x:c r="O659" s="26" t="n">
        <x:f>N659*(1-M659)</x:f>
        <x:v>29742.6</x:v>
      </x:c>
      <x:c r="P659" s="26" t="n">
        <x:v>4025</x:v>
      </x:c>
      <x:c r="Q659" s="26" t="n">
        <x:f>K659*P659</x:f>
        <x:v>24150</x:v>
      </x:c>
      <x:c r="R659" s="26" t="n">
        <x:f>O659-Q659</x:f>
        <x:v>5592.5999999999985</x:v>
      </x:c>
      <x:c r="S659" s="28" t="n">
        <x:f>IF(O659=0,0,R659/O659)</x:f>
        <x:v>0.18803332593653543</x:v>
      </x:c>
      <x:c r="T659" s="25" t="str">
        <x:v>Cash</x:v>
      </x:c>
      <x:c r="U659" s="25" t="str">
        <x:v>Returned</x:v>
      </x:c>
      <x:c r="V659" s="29" t="n">
        <x:v>3</x:v>
      </x:c>
    </x:row>
    <x:row r="660">
      <x:c r="A660" s="23" t="str">
        <x:v>MAN-2025-00659</x:v>
      </x:c>
      <x:c r="B660" s="24" t="n">
        <x:v>45992</x:v>
      </x:c>
      <x:c r="C660" s="25" t="str">
        <x:v>Mansoura</x:v>
      </x:c>
      <x:c r="D660" s="25" t="str">
        <x:v>Mansoura City</x:v>
      </x:c>
      <x:c r="E660" s="25" t="str">
        <x:v>Ali Sayed</x:v>
      </x:c>
      <x:c r="F660" s="25" t="str">
        <x:v>Omar Fathy</x:v>
      </x:c>
      <x:c r="G660" s="25" t="str">
        <x:v>Consumer</x:v>
      </x:c>
      <x:c r="H660" s="25" t="str">
        <x:v>Retail Store</x:v>
      </x:c>
      <x:c r="I660" s="25" t="str">
        <x:v>Furniture</x:v>
      </x:c>
      <x:c r="J660" s="25" t="str">
        <x:v>Bookshelf</x:v>
      </x:c>
      <x:c r="K660" s="25" t="n">
        <x:v>2</x:v>
      </x:c>
      <x:c r="L660" s="26" t="n">
        <x:v>2993</x:v>
      </x:c>
      <x:c r="M660" s="27" t="n">
        <x:v>0.05</x:v>
      </x:c>
      <x:c r="N660" s="26" t="n">
        <x:f>K660*L660</x:f>
        <x:v>5986</x:v>
      </x:c>
      <x:c r="O660" s="26" t="n">
        <x:f>N660*(1-M660)</x:f>
        <x:v>5686.7</x:v>
      </x:c>
      <x:c r="P660" s="26" t="n">
        <x:v>2136</x:v>
      </x:c>
      <x:c r="Q660" s="26" t="n">
        <x:f>K660*P660</x:f>
        <x:v>4272</x:v>
      </x:c>
      <x:c r="R660" s="26" t="n">
        <x:f>O660-Q660</x:f>
        <x:v>1414.6999999999998</x:v>
      </x:c>
      <x:c r="S660" s="28" t="n">
        <x:f>IF(O660=0,0,R660/O660)</x:f>
        <x:v>0.2487734538484534</x:v>
      </x:c>
      <x:c r="T660" s="25" t="str">
        <x:v>Debit Card</x:v>
      </x:c>
      <x:c r="U660" s="25" t="str">
        <x:v>Completed</x:v>
      </x:c>
      <x:c r="V660" s="29" t="n">
        <x:v>3</x:v>
      </x:c>
    </x:row>
    <x:row r="661">
      <x:c r="A661" s="23" t="str">
        <x:v>MAN-2025-00660</x:v>
      </x:c>
      <x:c r="B661" s="24" t="n">
        <x:v>45823</x:v>
      </x:c>
      <x:c r="C661" s="25" t="str">
        <x:v>Mansoura</x:v>
      </x:c>
      <x:c r="D661" s="25" t="str">
        <x:v>Mansoura City</x:v>
      </x:c>
      <x:c r="E661" s="25" t="str">
        <x:v>Salma Mansour</x:v>
      </x:c>
      <x:c r="F661" s="25" t="str">
        <x:v>Ali Ibrahim</x:v>
      </x:c>
      <x:c r="G661" s="25" t="str">
        <x:v>Small Business</x:v>
      </x:c>
      <x:c r="H661" s="25" t="str">
        <x:v>Phone Order</x:v>
      </x:c>
      <x:c r="I661" s="25" t="str">
        <x:v>Furniture</x:v>
      </x:c>
      <x:c r="J661" s="25" t="str">
        <x:v>Office Chair</x:v>
      </x:c>
      <x:c r="K661" s="25" t="n">
        <x:v>3</x:v>
      </x:c>
      <x:c r="L661" s="26" t="n">
        <x:v>3734</x:v>
      </x:c>
      <x:c r="M661" s="27" t="n">
        <x:v>0.1</x:v>
      </x:c>
      <x:c r="N661" s="26" t="n">
        <x:f>K661*L661</x:f>
        <x:v>11202</x:v>
      </x:c>
      <x:c r="O661" s="26" t="n">
        <x:f>N661*(1-M661)</x:f>
        <x:v>10081.800000000001</x:v>
      </x:c>
      <x:c r="P661" s="26" t="n">
        <x:v>2963</x:v>
      </x:c>
      <x:c r="Q661" s="26" t="n">
        <x:f>K661*P661</x:f>
        <x:v>8889</x:v>
      </x:c>
      <x:c r="R661" s="26" t="n">
        <x:f>O661-Q661</x:f>
        <x:v>1192.800000000001</x:v>
      </x:c>
      <x:c r="S661" s="28" t="n">
        <x:f>IF(O661=0,0,R661/O661)</x:f>
        <x:v>0.11831220615366313</x:v>
      </x:c>
      <x:c r="T661" s="25" t="str">
        <x:v>Bank Transfer</x:v>
      </x:c>
      <x:c r="U661" s="25" t="str">
        <x:v>Completed</x:v>
      </x:c>
      <x:c r="V661" s="29" t="n">
        <x:v>4</x:v>
      </x:c>
    </x:row>
    <x:row r="662">
      <x:c r="A662" s="23" t="str">
        <x:v>MAN-2025-00661</x:v>
      </x:c>
      <x:c r="B662" s="24" t="n">
        <x:v>45666</x:v>
      </x:c>
      <x:c r="C662" s="25" t="str">
        <x:v>Mansoura</x:v>
      </x:c>
      <x:c r="D662" s="25" t="str">
        <x:v>Talkha</x:v>
      </x:c>
      <x:c r="E662" s="25" t="str">
        <x:v>Aya Farouk</x:v>
      </x:c>
      <x:c r="F662" s="25" t="str">
        <x:v>Amr Farouk</x:v>
      </x:c>
      <x:c r="G662" s="25" t="str">
        <x:v>Small Business</x:v>
      </x:c>
      <x:c r="H662" s="25" t="str">
        <x:v>Phone Order</x:v>
      </x:c>
      <x:c r="I662" s="25" t="str">
        <x:v>Furniture</x:v>
      </x:c>
      <x:c r="J662" s="25" t="str">
        <x:v>Desk</x:v>
      </x:c>
      <x:c r="K662" s="25" t="n">
        <x:v>3</x:v>
      </x:c>
      <x:c r="L662" s="26" t="n">
        <x:v>4964</x:v>
      </x:c>
      <x:c r="M662" s="27" t="n">
        <x:v>0</x:v>
      </x:c>
      <x:c r="N662" s="26" t="n">
        <x:f>K662*L662</x:f>
        <x:v>14892</x:v>
      </x:c>
      <x:c r="O662" s="26" t="n">
        <x:f>N662*(1-M662)</x:f>
        <x:v>14892</x:v>
      </x:c>
      <x:c r="P662" s="26" t="n">
        <x:v>3952</x:v>
      </x:c>
      <x:c r="Q662" s="26" t="n">
        <x:f>K662*P662</x:f>
        <x:v>11856</x:v>
      </x:c>
      <x:c r="R662" s="26" t="n">
        <x:f>O662-Q662</x:f>
        <x:v>3036</x:v>
      </x:c>
      <x:c r="S662" s="28" t="n">
        <x:f>IF(O662=0,0,R662/O662)</x:f>
        <x:v>0.20386784850926673</x:v>
      </x:c>
      <x:c r="T662" s="25" t="str">
        <x:v>Digital Wallet</x:v>
      </x:c>
      <x:c r="U662" s="25" t="str">
        <x:v>Completed</x:v>
      </x:c>
      <x:c r="V662" s="29" t="n">
        <x:v>4</x:v>
      </x:c>
    </x:row>
    <x:row r="663">
      <x:c r="A663" s="23" t="str">
        <x:v>MAN-2025-00662</x:v>
      </x:c>
      <x:c r="B663" s="24" t="n">
        <x:v>45905</x:v>
      </x:c>
      <x:c r="C663" s="25" t="str">
        <x:v>Mansoura</x:v>
      </x:c>
      <x:c r="D663" s="25" t="str">
        <x:v>Aga</x:v>
      </x:c>
      <x:c r="E663" s="25" t="str">
        <x:v>Salma Mansour</x:v>
      </x:c>
      <x:c r="F663" s="25" t="str">
        <x:v>Ahmed Farouk</x:v>
      </x:c>
      <x:c r="G663" s="25" t="str">
        <x:v>Consumer</x:v>
      </x:c>
      <x:c r="H663" s="25" t="str">
        <x:v>Phone Order</x:v>
      </x:c>
      <x:c r="I663" s="25" t="str">
        <x:v>Office Supplies</x:v>
      </x:c>
      <x:c r="J663" s="25" t="str">
        <x:v>Printer</x:v>
      </x:c>
      <x:c r="K663" s="25" t="n">
        <x:v>4</x:v>
      </x:c>
      <x:c r="L663" s="26" t="n">
        <x:v>6438</x:v>
      </x:c>
      <x:c r="M663" s="27" t="n">
        <x:v>0</x:v>
      </x:c>
      <x:c r="N663" s="26" t="n">
        <x:f>K663*L663</x:f>
        <x:v>25752</x:v>
      </x:c>
      <x:c r="O663" s="26" t="n">
        <x:f>N663*(1-M663)</x:f>
        <x:v>25752</x:v>
      </x:c>
      <x:c r="P663" s="26" t="n">
        <x:v>5243</x:v>
      </x:c>
      <x:c r="Q663" s="26" t="n">
        <x:f>K663*P663</x:f>
        <x:v>20972</x:v>
      </x:c>
      <x:c r="R663" s="26" t="n">
        <x:f>O663-Q663</x:f>
        <x:v>4780</x:v>
      </x:c>
      <x:c r="S663" s="28" t="n">
        <x:f>IF(O663=0,0,R663/O663)</x:f>
        <x:v>0.1856166511338925</x:v>
      </x:c>
      <x:c r="T663" s="25" t="str">
        <x:v>Bank Transfer</x:v>
      </x:c>
      <x:c r="U663" s="25" t="str">
        <x:v>Completed</x:v>
      </x:c>
      <x:c r="V663" s="29" t="n">
        <x:v>5</x:v>
      </x:c>
    </x:row>
    <x:row r="664">
      <x:c r="A664" s="23" t="str">
        <x:v>MAN-2025-00663</x:v>
      </x:c>
      <x:c r="B664" s="24" t="n">
        <x:v>45710</x:v>
      </x:c>
      <x:c r="C664" s="25" t="str">
        <x:v>Mansoura</x:v>
      </x:c>
      <x:c r="D664" s="25" t="str">
        <x:v>Sherbin</x:v>
      </x:c>
      <x:c r="E664" s="25" t="str">
        <x:v>Salma Mansour</x:v>
      </x:c>
      <x:c r="F664" s="25" t="str">
        <x:v>Aya Mansour</x:v>
      </x:c>
      <x:c r="G664" s="25" t="str">
        <x:v>Small Business</x:v>
      </x:c>
      <x:c r="H664" s="25" t="str">
        <x:v>Phone Order</x:v>
      </x:c>
      <x:c r="I664" s="25" t="str">
        <x:v>Home Appliances</x:v>
      </x:c>
      <x:c r="J664" s="25" t="str">
        <x:v>Air Conditioner</x:v>
      </x:c>
      <x:c r="K664" s="25" t="n">
        <x:v>1</x:v>
      </x:c>
      <x:c r="L664" s="26" t="n">
        <x:v>21628</x:v>
      </x:c>
      <x:c r="M664" s="27" t="n">
        <x:v>0</x:v>
      </x:c>
      <x:c r="N664" s="26" t="n">
        <x:f>K664*L664</x:f>
        <x:v>21628</x:v>
      </x:c>
      <x:c r="O664" s="26" t="n">
        <x:f>N664*(1-M664)</x:f>
        <x:v>21628</x:v>
      </x:c>
      <x:c r="P664" s="26" t="n">
        <x:v>17752</x:v>
      </x:c>
      <x:c r="Q664" s="26" t="n">
        <x:f>K664*P664</x:f>
        <x:v>17752</x:v>
      </x:c>
      <x:c r="R664" s="26" t="n">
        <x:f>O664-Q664</x:f>
        <x:v>3876</x:v>
      </x:c>
      <x:c r="S664" s="28" t="n">
        <x:f>IF(O664=0,0,R664/O664)</x:f>
        <x:v>0.1792121324209358</x:v>
      </x:c>
      <x:c r="T664" s="25" t="str">
        <x:v>Debit Card</x:v>
      </x:c>
      <x:c r="U664" s="25" t="str">
        <x:v>Returned</x:v>
      </x:c>
      <x:c r="V664" s="29" t="n">
        <x:v>5</x:v>
      </x:c>
    </x:row>
    <x:row r="665">
      <x:c r="A665" s="23" t="str">
        <x:v>MAN-2025-00664</x:v>
      </x:c>
      <x:c r="B665" s="24" t="n">
        <x:v>45953</x:v>
      </x:c>
      <x:c r="C665" s="25" t="str">
        <x:v>Mansoura</x:v>
      </x:c>
      <x:c r="D665" s="25" t="str">
        <x:v>Mansoura City</x:v>
      </x:c>
      <x:c r="E665" s="25" t="str">
        <x:v>Youssef Fathy</x:v>
      </x:c>
      <x:c r="F665" s="25" t="str">
        <x:v>Salma Ibrahim</x:v>
      </x:c>
      <x:c r="G665" s="25" t="str">
        <x:v>Small Business</x:v>
      </x:c>
      <x:c r="H665" s="25" t="str">
        <x:v>Website</x:v>
      </x:c>
      <x:c r="I665" s="25" t="str">
        <x:v>Office Supplies</x:v>
      </x:c>
      <x:c r="J665" s="25" t="str">
        <x:v>Ink Cartridge</x:v>
      </x:c>
      <x:c r="K665" s="25" t="n">
        <x:v>3</x:v>
      </x:c>
      <x:c r="L665" s="26" t="n">
        <x:v>820</x:v>
      </x:c>
      <x:c r="M665" s="27" t="n">
        <x:v>0.15</x:v>
      </x:c>
      <x:c r="N665" s="26" t="n">
        <x:f>K665*L665</x:f>
        <x:v>2460</x:v>
      </x:c>
      <x:c r="O665" s="26" t="n">
        <x:f>N665*(1-M665)</x:f>
        <x:v>2091</x:v>
      </x:c>
      <x:c r="P665" s="26" t="n">
        <x:v>572</x:v>
      </x:c>
      <x:c r="Q665" s="26" t="n">
        <x:f>K665*P665</x:f>
        <x:v>1716</x:v>
      </x:c>
      <x:c r="R665" s="26" t="n">
        <x:f>O665-Q665</x:f>
        <x:v>375</x:v>
      </x:c>
      <x:c r="S665" s="28" t="n">
        <x:f>IF(O665=0,0,R665/O665)</x:f>
        <x:v>0.1793400286944046</x:v>
      </x:c>
      <x:c r="T665" s="25" t="str">
        <x:v>Credit Card</x:v>
      </x:c>
      <x:c r="U665" s="25" t="str">
        <x:v>Completed</x:v>
      </x:c>
      <x:c r="V665" s="29" t="n">
        <x:v>5</x:v>
      </x:c>
    </x:row>
    <x:row r="666">
      <x:c r="A666" s="23" t="str">
        <x:v>MAN-2025-00665</x:v>
      </x:c>
      <x:c r="B666" s="24" t="n">
        <x:v>46017</x:v>
      </x:c>
      <x:c r="C666" s="25" t="str">
        <x:v>Mansoura</x:v>
      </x:c>
      <x:c r="D666" s="25" t="str">
        <x:v>Sherbin</x:v>
      </x:c>
      <x:c r="E666" s="25" t="str">
        <x:v>Aya Farouk</x:v>
      </x:c>
      <x:c r="F666" s="25" t="str">
        <x:v>Salma Gamal</x:v>
      </x:c>
      <x:c r="G666" s="25" t="str">
        <x:v>Corporate</x:v>
      </x:c>
      <x:c r="H666" s="25" t="str">
        <x:v>Retail Store</x:v>
      </x:c>
      <x:c r="I666" s="25" t="str">
        <x:v>Office Supplies</x:v>
      </x:c>
      <x:c r="J666" s="25" t="str">
        <x:v>Paper Box</x:v>
      </x:c>
      <x:c r="K666" s="25" t="n">
        <x:v>6</x:v>
      </x:c>
      <x:c r="L666" s="26" t="n">
        <x:v>397</x:v>
      </x:c>
      <x:c r="M666" s="27" t="n">
        <x:v>0.1</x:v>
      </x:c>
      <x:c r="N666" s="26" t="n">
        <x:f>K666*L666</x:f>
        <x:v>2382</x:v>
      </x:c>
      <x:c r="O666" s="26" t="n">
        <x:f>N666*(1-M666)</x:f>
        <x:v>2143.8</x:v>
      </x:c>
      <x:c r="P666" s="26" t="n">
        <x:v>268</x:v>
      </x:c>
      <x:c r="Q666" s="26" t="n">
        <x:f>K666*P666</x:f>
        <x:v>1608</x:v>
      </x:c>
      <x:c r="R666" s="26" t="n">
        <x:f>O666-Q666</x:f>
        <x:v>535.8000000000002</x:v>
      </x:c>
      <x:c r="S666" s="28" t="n">
        <x:f>IF(O666=0,0,R666/O666)</x:f>
        <x:v>0.249930030786454</x:v>
      </x:c>
      <x:c r="T666" s="25" t="str">
        <x:v>Credit Card</x:v>
      </x:c>
      <x:c r="U666" s="25" t="str">
        <x:v>Completed</x:v>
      </x:c>
      <x:c r="V666" s="29" t="n">
        <x:v>4</x:v>
      </x:c>
    </x:row>
    <x:row r="667">
      <x:c r="A667" s="23" t="str">
        <x:v>MAN-2025-00666</x:v>
      </x:c>
      <x:c r="B667" s="24" t="n">
        <x:v>45829</x:v>
      </x:c>
      <x:c r="C667" s="25" t="str">
        <x:v>Mansoura</x:v>
      </x:c>
      <x:c r="D667" s="25" t="str">
        <x:v>Mit Ghamr</x:v>
      </x:c>
      <x:c r="E667" s="25" t="str">
        <x:v>Youssef Fathy</x:v>
      </x:c>
      <x:c r="F667" s="25" t="str">
        <x:v>Mohamed Samir</x:v>
      </x:c>
      <x:c r="G667" s="25" t="str">
        <x:v>Consumer</x:v>
      </x:c>
      <x:c r="H667" s="25" t="str">
        <x:v>Website</x:v>
      </x:c>
      <x:c r="I667" s="25" t="str">
        <x:v>Office Supplies</x:v>
      </x:c>
      <x:c r="J667" s="25" t="str">
        <x:v>Paper Box</x:v>
      </x:c>
      <x:c r="K667" s="25" t="n">
        <x:v>6</x:v>
      </x:c>
      <x:c r="L667" s="26" t="n">
        <x:v>399</x:v>
      </x:c>
      <x:c r="M667" s="27" t="n">
        <x:v>0.05</x:v>
      </x:c>
      <x:c r="N667" s="26" t="n">
        <x:f>K667*L667</x:f>
        <x:v>2394</x:v>
      </x:c>
      <x:c r="O667" s="26" t="n">
        <x:f>N667*(1-M667)</x:f>
        <x:v>2274.2999999999997</x:v>
      </x:c>
      <x:c r="P667" s="26" t="n">
        <x:v>254</x:v>
      </x:c>
      <x:c r="Q667" s="26" t="n">
        <x:f>K667*P667</x:f>
        <x:v>1524</x:v>
      </x:c>
      <x:c r="R667" s="26" t="n">
        <x:f>O667-Q667</x:f>
        <x:v>750.2999999999997</x:v>
      </x:c>
      <x:c r="S667" s="28" t="n">
        <x:f>IF(O667=0,0,R667/O667)</x:f>
        <x:v>0.3299037066350085</x:v>
      </x:c>
      <x:c r="T667" s="25" t="str">
        <x:v>Cash</x:v>
      </x:c>
      <x:c r="U667" s="25" t="str">
        <x:v>Completed</x:v>
      </x:c>
      <x:c r="V667" s="29" t="n">
        <x:v>4</x:v>
      </x:c>
    </x:row>
    <x:row r="668">
      <x:c r="A668" s="23" t="str">
        <x:v>MAN-2025-00667</x:v>
      </x:c>
      <x:c r="B668" s="24" t="n">
        <x:v>45802</x:v>
      </x:c>
      <x:c r="C668" s="25" t="str">
        <x:v>Mansoura</x:v>
      </x:c>
      <x:c r="D668" s="25" t="str">
        <x:v>Mansoura City</x:v>
      </x:c>
      <x:c r="E668" s="25" t="str">
        <x:v>Salma Mansour</x:v>
      </x:c>
      <x:c r="F668" s="25" t="str">
        <x:v>Amr Farouk</x:v>
      </x:c>
      <x:c r="G668" s="25" t="str">
        <x:v>Consumer</x:v>
      </x:c>
      <x:c r="H668" s="25" t="str">
        <x:v>Phone Order</x:v>
      </x:c>
      <x:c r="I668" s="25" t="str">
        <x:v>Furniture</x:v>
      </x:c>
      <x:c r="J668" s="25" t="str">
        <x:v>Sofa</x:v>
      </x:c>
      <x:c r="K668" s="25" t="n">
        <x:v>1</x:v>
      </x:c>
      <x:c r="L668" s="26" t="n">
        <x:v>14064</x:v>
      </x:c>
      <x:c r="M668" s="27" t="n">
        <x:v>0.1</x:v>
      </x:c>
      <x:c r="N668" s="26" t="n">
        <x:f>K668*L668</x:f>
        <x:v>14064</x:v>
      </x:c>
      <x:c r="O668" s="26" t="n">
        <x:f>N668*(1-M668)</x:f>
        <x:v>12657.6</x:v>
      </x:c>
      <x:c r="P668" s="26" t="n">
        <x:v>10586</x:v>
      </x:c>
      <x:c r="Q668" s="26" t="n">
        <x:f>K668*P668</x:f>
        <x:v>10586</x:v>
      </x:c>
      <x:c r="R668" s="26" t="n">
        <x:f>O668-Q668</x:f>
        <x:v>2071.6000000000004</x:v>
      </x:c>
      <x:c r="S668" s="28" t="n">
        <x:f>IF(O668=0,0,R668/O668)</x:f>
        <x:v>0.16366451776008092</x:v>
      </x:c>
      <x:c r="T668" s="25" t="str">
        <x:v>Digital Wallet</x:v>
      </x:c>
      <x:c r="U668" s="25" t="str">
        <x:v>Completed</x:v>
      </x:c>
      <x:c r="V668" s="29" t="n">
        <x:v>4</x:v>
      </x:c>
    </x:row>
    <x:row r="669">
      <x:c r="A669" s="23" t="str">
        <x:v>MAN-2025-00668</x:v>
      </x:c>
      <x:c r="B669" s="24" t="n">
        <x:v>45668</x:v>
      </x:c>
      <x:c r="C669" s="25" t="str">
        <x:v>Mansoura</x:v>
      </x:c>
      <x:c r="D669" s="25" t="str">
        <x:v>Talkha</x:v>
      </x:c>
      <x:c r="E669" s="25" t="str">
        <x:v>Ali Sayed</x:v>
      </x:c>
      <x:c r="F669" s="25" t="str">
        <x:v>Nour Adel</x:v>
      </x:c>
      <x:c r="G669" s="25" t="str">
        <x:v>Consumer</x:v>
      </x:c>
      <x:c r="H669" s="25" t="str">
        <x:v>Retail Store</x:v>
      </x:c>
      <x:c r="I669" s="25" t="str">
        <x:v>Home Appliances</x:v>
      </x:c>
      <x:c r="J669" s="25" t="str">
        <x:v>Air Conditioner</x:v>
      </x:c>
      <x:c r="K669" s="25" t="n">
        <x:v>5</x:v>
      </x:c>
      <x:c r="L669" s="26" t="n">
        <x:v>19938</x:v>
      </x:c>
      <x:c r="M669" s="27" t="n">
        <x:v>0.1</x:v>
      </x:c>
      <x:c r="N669" s="26" t="n">
        <x:f>K669*L669</x:f>
        <x:v>99690</x:v>
      </x:c>
      <x:c r="O669" s="26" t="n">
        <x:f>N669*(1-M669)</x:f>
        <x:v>89721</x:v>
      </x:c>
      <x:c r="P669" s="26" t="n">
        <x:v>17557</x:v>
      </x:c>
      <x:c r="Q669" s="26" t="n">
        <x:f>K669*P669</x:f>
        <x:v>87785</x:v>
      </x:c>
      <x:c r="R669" s="26" t="n">
        <x:f>O669-Q669</x:f>
        <x:v>1936</x:v>
      </x:c>
      <x:c r="S669" s="28" t="n">
        <x:f>IF(O669=0,0,R669/O669)</x:f>
        <x:v>0.021578002920163618</x:v>
      </x:c>
      <x:c r="T669" s="25" t="str">
        <x:v>Debit Card</x:v>
      </x:c>
      <x:c r="U669" s="25" t="str">
        <x:v>Cancelled</x:v>
      </x:c>
      <x:c r="V669" s="29" t="n">
        <x:v>4</x:v>
      </x:c>
    </x:row>
    <x:row r="670">
      <x:c r="A670" s="23" t="str">
        <x:v>MAN-2025-00669</x:v>
      </x:c>
      <x:c r="B670" s="24" t="n">
        <x:v>45758</x:v>
      </x:c>
      <x:c r="C670" s="25" t="str">
        <x:v>Mansoura</x:v>
      </x:c>
      <x:c r="D670" s="25" t="str">
        <x:v>Mit Ghamr</x:v>
      </x:c>
      <x:c r="E670" s="25" t="str">
        <x:v>Aya Farouk</x:v>
      </x:c>
      <x:c r="F670" s="25" t="str">
        <x:v>Mariam Tarek</x:v>
      </x:c>
      <x:c r="G670" s="25" t="str">
        <x:v>Small Business</x:v>
      </x:c>
      <x:c r="H670" s="25" t="str">
        <x:v>Retail Store</x:v>
      </x:c>
      <x:c r="I670" s="25" t="str">
        <x:v>Furniture</x:v>
      </x:c>
      <x:c r="J670" s="25" t="str">
        <x:v>Bookshelf</x:v>
      </x:c>
      <x:c r="K670" s="25" t="n">
        <x:v>6</x:v>
      </x:c>
      <x:c r="L670" s="26" t="n">
        <x:v>2973</x:v>
      </x:c>
      <x:c r="M670" s="27" t="n">
        <x:v>0.05</x:v>
      </x:c>
      <x:c r="N670" s="26" t="n">
        <x:f>K670*L670</x:f>
        <x:v>17838</x:v>
      </x:c>
      <x:c r="O670" s="26" t="n">
        <x:f>N670*(1-M670)</x:f>
        <x:v>16946.1</x:v>
      </x:c>
      <x:c r="P670" s="26" t="n">
        <x:v>2239</x:v>
      </x:c>
      <x:c r="Q670" s="26" t="n">
        <x:f>K670*P670</x:f>
        <x:v>13434</x:v>
      </x:c>
      <x:c r="R670" s="26" t="n">
        <x:f>O670-Q670</x:f>
        <x:v>3512.0999999999985</x:v>
      </x:c>
      <x:c r="S670" s="28" t="n">
        <x:f>IF(O670=0,0,R670/O670)</x:f>
        <x:v>0.20725122594579276</x:v>
      </x:c>
      <x:c r="T670" s="25" t="str">
        <x:v>Digital Wallet</x:v>
      </x:c>
      <x:c r="U670" s="25" t="str">
        <x:v>Completed</x:v>
      </x:c>
      <x:c r="V670" s="29" t="n">
        <x:v>4</x:v>
      </x:c>
    </x:row>
    <x:row r="671">
      <x:c r="A671" s="23" t="str">
        <x:v>MAN-2025-00670</x:v>
      </x:c>
      <x:c r="B671" s="24" t="n">
        <x:v>45934</x:v>
      </x:c>
      <x:c r="C671" s="25" t="str">
        <x:v>Mansoura</x:v>
      </x:c>
      <x:c r="D671" s="25" t="str">
        <x:v>Aga</x:v>
      </x:c>
      <x:c r="E671" s="25" t="str">
        <x:v>Salma Mansour</x:v>
      </x:c>
      <x:c r="F671" s="25" t="str">
        <x:v>Hana Farouk</x:v>
      </x:c>
      <x:c r="G671" s="25" t="str">
        <x:v>Consumer</x:v>
      </x:c>
      <x:c r="H671" s="25" t="str">
        <x:v>Retail Store</x:v>
      </x:c>
      <x:c r="I671" s="25" t="str">
        <x:v>Electronics</x:v>
      </x:c>
      <x:c r="J671" s="25" t="str">
        <x:v>Headphones</x:v>
      </x:c>
      <x:c r="K671" s="25" t="n">
        <x:v>2</x:v>
      </x:c>
      <x:c r="L671" s="26" t="n">
        <x:v>1770</x:v>
      </x:c>
      <x:c r="M671" s="27" t="n">
        <x:v>0</x:v>
      </x:c>
      <x:c r="N671" s="26" t="n">
        <x:f>K671*L671</x:f>
        <x:v>3540</x:v>
      </x:c>
      <x:c r="O671" s="26" t="n">
        <x:f>N671*(1-M671)</x:f>
        <x:v>3540</x:v>
      </x:c>
      <x:c r="P671" s="26" t="n">
        <x:v>1118</x:v>
      </x:c>
      <x:c r="Q671" s="26" t="n">
        <x:f>K671*P671</x:f>
        <x:v>2236</x:v>
      </x:c>
      <x:c r="R671" s="26" t="n">
        <x:f>O671-Q671</x:f>
        <x:v>1304</x:v>
      </x:c>
      <x:c r="S671" s="28" t="n">
        <x:f>IF(O671=0,0,R671/O671)</x:f>
        <x:v>0.36836158192090396</x:v>
      </x:c>
      <x:c r="T671" s="25" t="str">
        <x:v>Credit Card</x:v>
      </x:c>
      <x:c r="U671" s="25" t="str">
        <x:v>Completed</x:v>
      </x:c>
      <x:c r="V671" s="29" t="n">
        <x:v>3</x:v>
      </x:c>
    </x:row>
    <x:row r="672">
      <x:c r="A672" s="23" t="str">
        <x:v>MAN-2025-00671</x:v>
      </x:c>
      <x:c r="B672" s="24" t="n">
        <x:v>45826</x:v>
      </x:c>
      <x:c r="C672" s="25" t="str">
        <x:v>Mansoura</x:v>
      </x:c>
      <x:c r="D672" s="25" t="str">
        <x:v>Mit Ghamr</x:v>
      </x:c>
      <x:c r="E672" s="25" t="str">
        <x:v>Ali Sayed</x:v>
      </x:c>
      <x:c r="F672" s="25" t="str">
        <x:v>Hana Hassan</x:v>
      </x:c>
      <x:c r="G672" s="25" t="str">
        <x:v>Small Business</x:v>
      </x:c>
      <x:c r="H672" s="25" t="str">
        <x:v>Phone Order</x:v>
      </x:c>
      <x:c r="I672" s="25" t="str">
        <x:v>Furniture</x:v>
      </x:c>
      <x:c r="J672" s="25" t="str">
        <x:v>Bookshelf</x:v>
      </x:c>
      <x:c r="K672" s="25" t="n">
        <x:v>3</x:v>
      </x:c>
      <x:c r="L672" s="26" t="n">
        <x:v>3100</x:v>
      </x:c>
      <x:c r="M672" s="27" t="n">
        <x:v>0.1</x:v>
      </x:c>
      <x:c r="N672" s="26" t="n">
        <x:f>K672*L672</x:f>
        <x:v>9300</x:v>
      </x:c>
      <x:c r="O672" s="26" t="n">
        <x:f>N672*(1-M672)</x:f>
        <x:v>8370</x:v>
      </x:c>
      <x:c r="P672" s="26" t="n">
        <x:v>2269</x:v>
      </x:c>
      <x:c r="Q672" s="26" t="n">
        <x:f>K672*P672</x:f>
        <x:v>6807</x:v>
      </x:c>
      <x:c r="R672" s="26" t="n">
        <x:f>O672-Q672</x:f>
        <x:v>1563</x:v>
      </x:c>
      <x:c r="S672" s="28" t="n">
        <x:f>IF(O672=0,0,R672/O672)</x:f>
        <x:v>0.1867383512544803</x:v>
      </x:c>
      <x:c r="T672" s="25" t="str">
        <x:v>Credit Card</x:v>
      </x:c>
      <x:c r="U672" s="25" t="str">
        <x:v>Returned</x:v>
      </x:c>
      <x:c r="V672" s="29" t="n">
        <x:v>3</x:v>
      </x:c>
    </x:row>
    <x:row r="673">
      <x:c r="A673" s="23" t="str">
        <x:v>MAN-2025-00672</x:v>
      </x:c>
      <x:c r="B673" s="24" t="n">
        <x:v>45788</x:v>
      </x:c>
      <x:c r="C673" s="25" t="str">
        <x:v>Mansoura</x:v>
      </x:c>
      <x:c r="D673" s="25" t="str">
        <x:v>Aga</x:v>
      </x:c>
      <x:c r="E673" s="25" t="str">
        <x:v>Ali Sayed</x:v>
      </x:c>
      <x:c r="F673" s="25" t="str">
        <x:v>Sara Khalil</x:v>
      </x:c>
      <x:c r="G673" s="25" t="str">
        <x:v>Small Business</x:v>
      </x:c>
      <x:c r="H673" s="25" t="str">
        <x:v>Website</x:v>
      </x:c>
      <x:c r="I673" s="25" t="str">
        <x:v>Home Appliances</x:v>
      </x:c>
      <x:c r="J673" s="25" t="str">
        <x:v>Washing Machine</x:v>
      </x:c>
      <x:c r="K673" s="25" t="n">
        <x:v>4</x:v>
      </x:c>
      <x:c r="L673" s="26" t="n">
        <x:v>15922</x:v>
      </x:c>
      <x:c r="M673" s="27" t="n">
        <x:v>0.1</x:v>
      </x:c>
      <x:c r="N673" s="26" t="n">
        <x:f>K673*L673</x:f>
        <x:v>63688</x:v>
      </x:c>
      <x:c r="O673" s="26" t="n">
        <x:f>N673*(1-M673)</x:f>
        <x:v>57319.200000000004</x:v>
      </x:c>
      <x:c r="P673" s="26" t="n">
        <x:v>14142</x:v>
      </x:c>
      <x:c r="Q673" s="26" t="n">
        <x:f>K673*P673</x:f>
        <x:v>56568</x:v>
      </x:c>
      <x:c r="R673" s="26" t="n">
        <x:f>O673-Q673</x:f>
        <x:v>751.2000000000044</x:v>
      </x:c>
      <x:c r="S673" s="28" t="n">
        <x:f>IF(O673=0,0,R673/O673)</x:f>
        <x:v>0.013105556253402076</x:v>
      </x:c>
      <x:c r="T673" s="25" t="str">
        <x:v>Credit Card</x:v>
      </x:c>
      <x:c r="U673" s="25" t="str">
        <x:v>Completed</x:v>
      </x:c>
      <x:c r="V673" s="29" t="n">
        <x:v>5</x:v>
      </x:c>
    </x:row>
    <x:row r="674">
      <x:c r="A674" s="23" t="str">
        <x:v>MAN-2025-00673</x:v>
      </x:c>
      <x:c r="B674" s="24" t="n">
        <x:v>45813</x:v>
      </x:c>
      <x:c r="C674" s="25" t="str">
        <x:v>Mansoura</x:v>
      </x:c>
      <x:c r="D674" s="25" t="str">
        <x:v>Sherbin</x:v>
      </x:c>
      <x:c r="E674" s="25" t="str">
        <x:v>Ali Sayed</x:v>
      </x:c>
      <x:c r="F674" s="25" t="str">
        <x:v>Amr Khalil</x:v>
      </x:c>
      <x:c r="G674" s="25" t="str">
        <x:v>Corporate</x:v>
      </x:c>
      <x:c r="H674" s="25" t="str">
        <x:v>Mobile App</x:v>
      </x:c>
      <x:c r="I674" s="25" t="str">
        <x:v>Furniture</x:v>
      </x:c>
      <x:c r="J674" s="25" t="str">
        <x:v>Office Chair</x:v>
      </x:c>
      <x:c r="K674" s="25" t="n">
        <x:v>3</x:v>
      </x:c>
      <x:c r="L674" s="26" t="n">
        <x:v>3992</x:v>
      </x:c>
      <x:c r="M674" s="27" t="n">
        <x:v>0.05</x:v>
      </x:c>
      <x:c r="N674" s="26" t="n">
        <x:f>K674*L674</x:f>
        <x:v>11976</x:v>
      </x:c>
      <x:c r="O674" s="26" t="n">
        <x:f>N674*(1-M674)</x:f>
        <x:v>11377.199999999999</x:v>
      </x:c>
      <x:c r="P674" s="26" t="n">
        <x:v>2778</x:v>
      </x:c>
      <x:c r="Q674" s="26" t="n">
        <x:f>K674*P674</x:f>
        <x:v>8334</x:v>
      </x:c>
      <x:c r="R674" s="26" t="n">
        <x:f>O674-Q674</x:f>
        <x:v>3043.199999999999</x:v>
      </x:c>
      <x:c r="S674" s="28" t="n">
        <x:f>IF(O674=0,0,R674/O674)</x:f>
        <x:v>0.267482333087227</x:v>
      </x:c>
      <x:c r="T674" s="25" t="str">
        <x:v>Debit Card</x:v>
      </x:c>
      <x:c r="U674" s="25" t="str">
        <x:v>Cancelled</x:v>
      </x:c>
      <x:c r="V674" s="29" t="n">
        <x:v>3</x:v>
      </x:c>
    </x:row>
    <x:row r="675">
      <x:c r="A675" s="23" t="str">
        <x:v>MAN-2025-00674</x:v>
      </x:c>
      <x:c r="B675" s="24" t="n">
        <x:v>45727</x:v>
      </x:c>
      <x:c r="C675" s="25" t="str">
        <x:v>Mansoura</x:v>
      </x:c>
      <x:c r="D675" s="25" t="str">
        <x:v>Mansoura City</x:v>
      </x:c>
      <x:c r="E675" s="25" t="str">
        <x:v>Youssef Fathy</x:v>
      </x:c>
      <x:c r="F675" s="25" t="str">
        <x:v>Mostafa Farouk</x:v>
      </x:c>
      <x:c r="G675" s="25" t="str">
        <x:v>Small Business</x:v>
      </x:c>
      <x:c r="H675" s="25" t="str">
        <x:v>Mobile App</x:v>
      </x:c>
      <x:c r="I675" s="25" t="str">
        <x:v>Home Appliances</x:v>
      </x:c>
      <x:c r="J675" s="25" t="str">
        <x:v>Blender</x:v>
      </x:c>
      <x:c r="K675" s="25" t="n">
        <x:v>1</x:v>
      </x:c>
      <x:c r="L675" s="26" t="n">
        <x:v>1793</x:v>
      </x:c>
      <x:c r="M675" s="27" t="n">
        <x:v>0</x:v>
      </x:c>
      <x:c r="N675" s="26" t="n">
        <x:f>K675*L675</x:f>
        <x:v>1793</x:v>
      </x:c>
      <x:c r="O675" s="26" t="n">
        <x:f>N675*(1-M675)</x:f>
        <x:v>1793</x:v>
      </x:c>
      <x:c r="P675" s="26" t="n">
        <x:v>1280</x:v>
      </x:c>
      <x:c r="Q675" s="26" t="n">
        <x:f>K675*P675</x:f>
        <x:v>1280</x:v>
      </x:c>
      <x:c r="R675" s="26" t="n">
        <x:f>O675-Q675</x:f>
        <x:v>513</x:v>
      </x:c>
      <x:c r="S675" s="28" t="n">
        <x:f>IF(O675=0,0,R675/O675)</x:f>
        <x:v>0.2861126603457892</x:v>
      </x:c>
      <x:c r="T675" s="25" t="str">
        <x:v>Debit Card</x:v>
      </x:c>
      <x:c r="U675" s="25" t="str">
        <x:v>Completed</x:v>
      </x:c>
      <x:c r="V675" s="29" t="n">
        <x:v>5</x:v>
      </x:c>
    </x:row>
    <x:row r="676">
      <x:c r="A676" s="23" t="str">
        <x:v>MAN-2025-00675</x:v>
      </x:c>
      <x:c r="B676" s="24" t="n">
        <x:v>45929</x:v>
      </x:c>
      <x:c r="C676" s="25" t="str">
        <x:v>Mansoura</x:v>
      </x:c>
      <x:c r="D676" s="25" t="str">
        <x:v>Mansoura City</x:v>
      </x:c>
      <x:c r="E676" s="25" t="str">
        <x:v>Salma Mansour</x:v>
      </x:c>
      <x:c r="F676" s="25" t="str">
        <x:v>Ali Tarek</x:v>
      </x:c>
      <x:c r="G676" s="25" t="str">
        <x:v>Corporate</x:v>
      </x:c>
      <x:c r="H676" s="25" t="str">
        <x:v>Retail Store</x:v>
      </x:c>
      <x:c r="I676" s="25" t="str">
        <x:v>Electronics</x:v>
      </x:c>
      <x:c r="J676" s="25" t="str">
        <x:v>Smartphone</x:v>
      </x:c>
      <x:c r="K676" s="25" t="n">
        <x:v>2</x:v>
      </x:c>
      <x:c r="L676" s="26" t="n">
        <x:v>12331</x:v>
      </x:c>
      <x:c r="M676" s="27" t="n">
        <x:v>0.1</x:v>
      </x:c>
      <x:c r="N676" s="26" t="n">
        <x:f>K676*L676</x:f>
        <x:v>24662</x:v>
      </x:c>
      <x:c r="O676" s="26" t="n">
        <x:f>N676*(1-M676)</x:f>
        <x:v>22195.8</x:v>
      </x:c>
      <x:c r="P676" s="26" t="n">
        <x:v>11095</x:v>
      </x:c>
      <x:c r="Q676" s="26" t="n">
        <x:f>K676*P676</x:f>
        <x:v>22190</x:v>
      </x:c>
      <x:c r="R676" s="26" t="n">
        <x:f>O676-Q676</x:f>
        <x:v>5.799999999999272</x:v>
      </x:c>
      <x:c r="S676" s="28" t="n">
        <x:f>IF(O676=0,0,R676/O676)</x:f>
        <x:v>0.0002613106984203891</x:v>
      </x:c>
      <x:c r="T676" s="25" t="str">
        <x:v>Cash</x:v>
      </x:c>
      <x:c r="U676" s="25" t="str">
        <x:v>Completed</x:v>
      </x:c>
      <x:c r="V676" s="29" t="n">
        <x:v>4</x:v>
      </x:c>
    </x:row>
    <x:row r="677">
      <x:c r="A677" s="23" t="str">
        <x:v>MAN-2025-00676</x:v>
      </x:c>
      <x:c r="B677" s="24" t="n">
        <x:v>45872</x:v>
      </x:c>
      <x:c r="C677" s="25" t="str">
        <x:v>Mansoura</x:v>
      </x:c>
      <x:c r="D677" s="25" t="str">
        <x:v>Sherbin</x:v>
      </x:c>
      <x:c r="E677" s="25" t="str">
        <x:v>Salma Mansour</x:v>
      </x:c>
      <x:c r="F677" s="25" t="str">
        <x:v>Farah Gamal</x:v>
      </x:c>
      <x:c r="G677" s="25" t="str">
        <x:v>Small Business</x:v>
      </x:c>
      <x:c r="H677" s="25" t="str">
        <x:v>Phone Order</x:v>
      </x:c>
      <x:c r="I677" s="25" t="str">
        <x:v>Electronics</x:v>
      </x:c>
      <x:c r="J677" s="25" t="str">
        <x:v>Smartphone</x:v>
      </x:c>
      <x:c r="K677" s="25" t="n">
        <x:v>2</x:v>
      </x:c>
      <x:c r="L677" s="26" t="n">
        <x:v>12379</x:v>
      </x:c>
      <x:c r="M677" s="27" t="n">
        <x:v>0</x:v>
      </x:c>
      <x:c r="N677" s="26" t="n">
        <x:f>K677*L677</x:f>
        <x:v>24758</x:v>
      </x:c>
      <x:c r="O677" s="26" t="n">
        <x:f>N677*(1-M677)</x:f>
        <x:v>24758</x:v>
      </x:c>
      <x:c r="P677" s="26" t="n">
        <x:v>11101</x:v>
      </x:c>
      <x:c r="Q677" s="26" t="n">
        <x:f>K677*P677</x:f>
        <x:v>22202</x:v>
      </x:c>
      <x:c r="R677" s="26" t="n">
        <x:f>O677-Q677</x:f>
        <x:v>2556</x:v>
      </x:c>
      <x:c r="S677" s="28" t="n">
        <x:f>IF(O677=0,0,R677/O677)</x:f>
        <x:v>0.10323935697552307</x:v>
      </x:c>
      <x:c r="T677" s="25" t="str">
        <x:v>Bank Transfer</x:v>
      </x:c>
      <x:c r="U677" s="25" t="str">
        <x:v>Completed</x:v>
      </x:c>
      <x:c r="V677" s="29" t="n">
        <x:v>4</x:v>
      </x:c>
    </x:row>
    <x:row r="678">
      <x:c r="A678" s="23" t="str">
        <x:v>MAN-2025-00677</x:v>
      </x:c>
      <x:c r="B678" s="24" t="n">
        <x:v>46002</x:v>
      </x:c>
      <x:c r="C678" s="25" t="str">
        <x:v>Mansoura</x:v>
      </x:c>
      <x:c r="D678" s="25" t="str">
        <x:v>Mit Ghamr</x:v>
      </x:c>
      <x:c r="E678" s="25" t="str">
        <x:v>Youssef Fathy</x:v>
      </x:c>
      <x:c r="F678" s="25" t="str">
        <x:v>Mohamed Fathy</x:v>
      </x:c>
      <x:c r="G678" s="25" t="str">
        <x:v>Corporate</x:v>
      </x:c>
      <x:c r="H678" s="25" t="str">
        <x:v>Website</x:v>
      </x:c>
      <x:c r="I678" s="25" t="str">
        <x:v>Electronics</x:v>
      </x:c>
      <x:c r="J678" s="25" t="str">
        <x:v>Laptop</x:v>
      </x:c>
      <x:c r="K678" s="25" t="n">
        <x:v>6</x:v>
      </x:c>
      <x:c r="L678" s="26" t="n">
        <x:v>24895</x:v>
      </x:c>
      <x:c r="M678" s="27" t="n">
        <x:v>0.1</x:v>
      </x:c>
      <x:c r="N678" s="26" t="n">
        <x:f>K678*L678</x:f>
        <x:v>149370</x:v>
      </x:c>
      <x:c r="O678" s="26" t="n">
        <x:f>N678*(1-M678)</x:f>
        <x:v>134433</x:v>
      </x:c>
      <x:c r="P678" s="26" t="n">
        <x:v>20773</x:v>
      </x:c>
      <x:c r="Q678" s="26" t="n">
        <x:f>K678*P678</x:f>
        <x:v>124638</x:v>
      </x:c>
      <x:c r="R678" s="26" t="n">
        <x:f>O678-Q678</x:f>
        <x:v>9795</x:v>
      </x:c>
      <x:c r="S678" s="28" t="n">
        <x:f>IF(O678=0,0,R678/O678)</x:f>
        <x:v>0.0728615741670572</x:v>
      </x:c>
      <x:c r="T678" s="25" t="str">
        <x:v>Digital Wallet</x:v>
      </x:c>
      <x:c r="U678" s="25" t="str">
        <x:v>Completed</x:v>
      </x:c>
      <x:c r="V678" s="29" t="n">
        <x:v>5</x:v>
      </x:c>
    </x:row>
    <x:row r="679">
      <x:c r="A679" s="23" t="str">
        <x:v>MAN-2025-00678</x:v>
      </x:c>
      <x:c r="B679" s="24" t="n">
        <x:v>45798</x:v>
      </x:c>
      <x:c r="C679" s="25" t="str">
        <x:v>Mansoura</x:v>
      </x:c>
      <x:c r="D679" s="25" t="str">
        <x:v>Mit Ghamr</x:v>
      </x:c>
      <x:c r="E679" s="25" t="str">
        <x:v>Ali Sayed</x:v>
      </x:c>
      <x:c r="F679" s="25" t="str">
        <x:v>Mahmoud Tarek</x:v>
      </x:c>
      <x:c r="G679" s="25" t="str">
        <x:v>Small Business</x:v>
      </x:c>
      <x:c r="H679" s="25" t="str">
        <x:v>Mobile App</x:v>
      </x:c>
      <x:c r="I679" s="25" t="str">
        <x:v>Home Appliances</x:v>
      </x:c>
      <x:c r="J679" s="25" t="str">
        <x:v>Microwave</x:v>
      </x:c>
      <x:c r="K679" s="25" t="n">
        <x:v>5</x:v>
      </x:c>
      <x:c r="L679" s="26" t="n">
        <x:v>5766</x:v>
      </x:c>
      <x:c r="M679" s="27" t="n">
        <x:v>0.1</x:v>
      </x:c>
      <x:c r="N679" s="26" t="n">
        <x:f>K679*L679</x:f>
        <x:v>28830</x:v>
      </x:c>
      <x:c r="O679" s="26" t="n">
        <x:f>N679*(1-M679)</x:f>
        <x:v>25947</x:v>
      </x:c>
      <x:c r="P679" s="26" t="n">
        <x:v>4378</x:v>
      </x:c>
      <x:c r="Q679" s="26" t="n">
        <x:f>K679*P679</x:f>
        <x:v>21890</x:v>
      </x:c>
      <x:c r="R679" s="26" t="n">
        <x:f>O679-Q679</x:f>
        <x:v>4057</x:v>
      </x:c>
      <x:c r="S679" s="28" t="n">
        <x:f>IF(O679=0,0,R679/O679)</x:f>
        <x:v>0.1563571896558369</x:v>
      </x:c>
      <x:c r="T679" s="25" t="str">
        <x:v>Debit Card</x:v>
      </x:c>
      <x:c r="U679" s="25" t="str">
        <x:v>Cancelled</x:v>
      </x:c>
      <x:c r="V679" s="29" t="n">
        <x:v>5</x:v>
      </x:c>
    </x:row>
    <x:row r="680">
      <x:c r="A680" s="23" t="str">
        <x:v>MAN-2025-00679</x:v>
      </x:c>
      <x:c r="B680" s="24" t="n">
        <x:v>45994</x:v>
      </x:c>
      <x:c r="C680" s="25" t="str">
        <x:v>Mansoura</x:v>
      </x:c>
      <x:c r="D680" s="25" t="str">
        <x:v>Mit Ghamr</x:v>
      </x:c>
      <x:c r="E680" s="25" t="str">
        <x:v>Salma Mansour</x:v>
      </x:c>
      <x:c r="F680" s="25" t="str">
        <x:v>Karim Fathy</x:v>
      </x:c>
      <x:c r="G680" s="25" t="str">
        <x:v>Small Business</x:v>
      </x:c>
      <x:c r="H680" s="25" t="str">
        <x:v>Retail Store</x:v>
      </x:c>
      <x:c r="I680" s="25" t="str">
        <x:v>Electronics</x:v>
      </x:c>
      <x:c r="J680" s="25" t="str">
        <x:v>Headphones</x:v>
      </x:c>
      <x:c r="K680" s="25" t="n">
        <x:v>6</x:v>
      </x:c>
      <x:c r="L680" s="26" t="n">
        <x:v>1788</x:v>
      </x:c>
      <x:c r="M680" s="27" t="n">
        <x:v>0</x:v>
      </x:c>
      <x:c r="N680" s="26" t="n">
        <x:f>K680*L680</x:f>
        <x:v>10728</x:v>
      </x:c>
      <x:c r="O680" s="26" t="n">
        <x:f>N680*(1-M680)</x:f>
        <x:v>10728</x:v>
      </x:c>
      <x:c r="P680" s="26" t="n">
        <x:v>1101</x:v>
      </x:c>
      <x:c r="Q680" s="26" t="n">
        <x:f>K680*P680</x:f>
        <x:v>6606</x:v>
      </x:c>
      <x:c r="R680" s="26" t="n">
        <x:f>O680-Q680</x:f>
        <x:v>4122</x:v>
      </x:c>
      <x:c r="S680" s="28" t="n">
        <x:f>IF(O680=0,0,R680/O680)</x:f>
        <x:v>0.38422818791946306</x:v>
      </x:c>
      <x:c r="T680" s="25" t="str">
        <x:v>Debit Card</x:v>
      </x:c>
      <x:c r="U680" s="25" t="str">
        <x:v>Cancelled</x:v>
      </x:c>
      <x:c r="V680" s="29" t="n">
        <x:v>5</x:v>
      </x:c>
    </x:row>
    <x:row r="681">
      <x:c r="A681" s="23" t="str">
        <x:v>MAN-2025-00680</x:v>
      </x:c>
      <x:c r="B681" s="24" t="n">
        <x:v>46022</x:v>
      </x:c>
      <x:c r="C681" s="25" t="str">
        <x:v>Mansoura</x:v>
      </x:c>
      <x:c r="D681" s="25" t="str">
        <x:v>Sherbin</x:v>
      </x:c>
      <x:c r="E681" s="25" t="str">
        <x:v>Salma Mansour</x:v>
      </x:c>
      <x:c r="F681" s="25" t="str">
        <x:v>Hana Ibrahim</x:v>
      </x:c>
      <x:c r="G681" s="25" t="str">
        <x:v>Consumer</x:v>
      </x:c>
      <x:c r="H681" s="25" t="str">
        <x:v>Retail Store</x:v>
      </x:c>
      <x:c r="I681" s="25" t="str">
        <x:v>Furniture</x:v>
      </x:c>
      <x:c r="J681" s="25" t="str">
        <x:v>Desk</x:v>
      </x:c>
      <x:c r="K681" s="25" t="n">
        <x:v>6</x:v>
      </x:c>
      <x:c r="L681" s="26" t="n">
        <x:v>4840</x:v>
      </x:c>
      <x:c r="M681" s="27" t="n">
        <x:v>0.05</x:v>
      </x:c>
      <x:c r="N681" s="26" t="n">
        <x:f>K681*L681</x:f>
        <x:v>29040</x:v>
      </x:c>
      <x:c r="O681" s="26" t="n">
        <x:f>N681*(1-M681)</x:f>
        <x:v>27588</x:v>
      </x:c>
      <x:c r="P681" s="26" t="n">
        <x:v>3951</x:v>
      </x:c>
      <x:c r="Q681" s="26" t="n">
        <x:f>K681*P681</x:f>
        <x:v>23706</x:v>
      </x:c>
      <x:c r="R681" s="26" t="n">
        <x:f>O681-Q681</x:f>
        <x:v>3882</x:v>
      </x:c>
      <x:c r="S681" s="28" t="n">
        <x:f>IF(O681=0,0,R681/O681)</x:f>
        <x:v>0.14071335363201393</x:v>
      </x:c>
      <x:c r="T681" s="25" t="str">
        <x:v>Digital Wallet</x:v>
      </x:c>
      <x:c r="U681" s="25" t="str">
        <x:v>Returned</x:v>
      </x:c>
      <x:c r="V681" s="29" t="n">
        <x:v>4</x:v>
      </x:c>
    </x:row>
    <x:row r="682">
      <x:c r="A682" s="23" t="str">
        <x:v>MAN-2025-00681</x:v>
      </x:c>
      <x:c r="B682" s="24" t="n">
        <x:v>45741</x:v>
      </x:c>
      <x:c r="C682" s="25" t="str">
        <x:v>Mansoura</x:v>
      </x:c>
      <x:c r="D682" s="25" t="str">
        <x:v>Aga</x:v>
      </x:c>
      <x:c r="E682" s="25" t="str">
        <x:v>Salma Mansour</x:v>
      </x:c>
      <x:c r="F682" s="25" t="str">
        <x:v>Amr Nasser</x:v>
      </x:c>
      <x:c r="G682" s="25" t="str">
        <x:v>Consumer</x:v>
      </x:c>
      <x:c r="H682" s="25" t="str">
        <x:v>Retail Store</x:v>
      </x:c>
      <x:c r="I682" s="25" t="str">
        <x:v>Home Appliances</x:v>
      </x:c>
      <x:c r="J682" s="25" t="str">
        <x:v>Blender</x:v>
      </x:c>
      <x:c r="K682" s="25" t="n">
        <x:v>6</x:v>
      </x:c>
      <x:c r="L682" s="26" t="n">
        <x:v>1753</x:v>
      </x:c>
      <x:c r="M682" s="27" t="n">
        <x:v>0.1</x:v>
      </x:c>
      <x:c r="N682" s="26" t="n">
        <x:f>K682*L682</x:f>
        <x:v>10518</x:v>
      </x:c>
      <x:c r="O682" s="26" t="n">
        <x:f>N682*(1-M682)</x:f>
        <x:v>9466.2</x:v>
      </x:c>
      <x:c r="P682" s="26" t="n">
        <x:v>1283</x:v>
      </x:c>
      <x:c r="Q682" s="26" t="n">
        <x:f>K682*P682</x:f>
        <x:v>7698</x:v>
      </x:c>
      <x:c r="R682" s="26" t="n">
        <x:f>O682-Q682</x:f>
        <x:v>1768.2000000000007</x:v>
      </x:c>
      <x:c r="S682" s="28" t="n">
        <x:f>IF(O682=0,0,R682/O682)</x:f>
        <x:v>0.18679089814286626</x:v>
      </x:c>
      <x:c r="T682" s="25" t="str">
        <x:v>Cash</x:v>
      </x:c>
      <x:c r="U682" s="25" t="str">
        <x:v>Completed</x:v>
      </x:c>
      <x:c r="V682" s="29" t="n">
        <x:v>5</x:v>
      </x:c>
    </x:row>
    <x:row r="683">
      <x:c r="A683" s="23" t="str">
        <x:v>MAN-2025-00682</x:v>
      </x:c>
      <x:c r="B683" s="24" t="n">
        <x:v>45987</x:v>
      </x:c>
      <x:c r="C683" s="25" t="str">
        <x:v>Mansoura</x:v>
      </x:c>
      <x:c r="D683" s="25" t="str">
        <x:v>Mit Ghamr</x:v>
      </x:c>
      <x:c r="E683" s="25" t="str">
        <x:v>Salma Mansour</x:v>
      </x:c>
      <x:c r="F683" s="25" t="str">
        <x:v>Sara Samir</x:v>
      </x:c>
      <x:c r="G683" s="25" t="str">
        <x:v>Small Business</x:v>
      </x:c>
      <x:c r="H683" s="25" t="str">
        <x:v>Phone Order</x:v>
      </x:c>
      <x:c r="I683" s="25" t="str">
        <x:v>Home Appliances</x:v>
      </x:c>
      <x:c r="J683" s="25" t="str">
        <x:v>Air Conditioner</x:v>
      </x:c>
      <x:c r="K683" s="25" t="n">
        <x:v>4</x:v>
      </x:c>
      <x:c r="L683" s="26" t="n">
        <x:v>20389</x:v>
      </x:c>
      <x:c r="M683" s="27" t="n">
        <x:v>0.1</x:v>
      </x:c>
      <x:c r="N683" s="26" t="n">
        <x:f>K683*L683</x:f>
        <x:v>81556</x:v>
      </x:c>
      <x:c r="O683" s="26" t="n">
        <x:f>N683*(1-M683)</x:f>
        <x:v>73400.40000000001</x:v>
      </x:c>
      <x:c r="P683" s="26" t="n">
        <x:v>17736</x:v>
      </x:c>
      <x:c r="Q683" s="26" t="n">
        <x:f>K683*P683</x:f>
        <x:v>70944</x:v>
      </x:c>
      <x:c r="R683" s="26" t="n">
        <x:f>O683-Q683</x:f>
        <x:v>2456.4000000000087</x:v>
      </x:c>
      <x:c r="S683" s="28" t="n">
        <x:f>IF(O683=0,0,R683/O683)</x:f>
        <x:v>0.033465757679794775</x:v>
      </x:c>
      <x:c r="T683" s="25" t="str">
        <x:v>Cash</x:v>
      </x:c>
      <x:c r="U683" s="25" t="str">
        <x:v>Returned</x:v>
      </x:c>
      <x:c r="V683" s="29" t="n">
        <x:v>4</x:v>
      </x:c>
    </x:row>
    <x:row r="684">
      <x:c r="A684" s="23" t="str">
        <x:v>MAN-2025-00683</x:v>
      </x:c>
      <x:c r="B684" s="24" t="n">
        <x:v>45959</x:v>
      </x:c>
      <x:c r="C684" s="25" t="str">
        <x:v>Mansoura</x:v>
      </x:c>
      <x:c r="D684" s="25" t="str">
        <x:v>Mansoura City</x:v>
      </x:c>
      <x:c r="E684" s="25" t="str">
        <x:v>Youssef Fathy</x:v>
      </x:c>
      <x:c r="F684" s="25" t="str">
        <x:v>Ahmed Nasser</x:v>
      </x:c>
      <x:c r="G684" s="25" t="str">
        <x:v>Small Business</x:v>
      </x:c>
      <x:c r="H684" s="25" t="str">
        <x:v>Retail Store</x:v>
      </x:c>
      <x:c r="I684" s="25" t="str">
        <x:v>Office Supplies</x:v>
      </x:c>
      <x:c r="J684" s="25" t="str">
        <x:v>Calculator</x:v>
      </x:c>
      <x:c r="K684" s="25" t="n">
        <x:v>5</x:v>
      </x:c>
      <x:c r="L684" s="26" t="n">
        <x:v>434</x:v>
      </x:c>
      <x:c r="M684" s="27" t="n">
        <x:v>0.15</x:v>
      </x:c>
      <x:c r="N684" s="26" t="n">
        <x:f>K684*L684</x:f>
        <x:v>2170</x:v>
      </x:c>
      <x:c r="O684" s="26" t="n">
        <x:f>N684*(1-M684)</x:f>
        <x:v>1844.5</x:v>
      </x:c>
      <x:c r="P684" s="26" t="n">
        <x:v>283</x:v>
      </x:c>
      <x:c r="Q684" s="26" t="n">
        <x:f>K684*P684</x:f>
        <x:v>1415</x:v>
      </x:c>
      <x:c r="R684" s="26" t="n">
        <x:f>O684-Q684</x:f>
        <x:v>429.5</x:v>
      </x:c>
      <x:c r="S684" s="28" t="n">
        <x:f>IF(O684=0,0,R684/O684)</x:f>
        <x:v>0.2328544320954188</x:v>
      </x:c>
      <x:c r="T684" s="25" t="str">
        <x:v>Digital Wallet</x:v>
      </x:c>
      <x:c r="U684" s="25" t="str">
        <x:v>Cancelled</x:v>
      </x:c>
      <x:c r="V684" s="29" t="n">
        <x:v>5</x:v>
      </x:c>
    </x:row>
    <x:row r="685">
      <x:c r="A685" s="23" t="str">
        <x:v>MAN-2025-00684</x:v>
      </x:c>
      <x:c r="B685" s="24" t="n">
        <x:v>45966</x:v>
      </x:c>
      <x:c r="C685" s="25" t="str">
        <x:v>Mansoura</x:v>
      </x:c>
      <x:c r="D685" s="25" t="str">
        <x:v>Aga</x:v>
      </x:c>
      <x:c r="E685" s="25" t="str">
        <x:v>Aya Farouk</x:v>
      </x:c>
      <x:c r="F685" s="25" t="str">
        <x:v>Mostafa Khalil</x:v>
      </x:c>
      <x:c r="G685" s="25" t="str">
        <x:v>Consumer</x:v>
      </x:c>
      <x:c r="H685" s="25" t="str">
        <x:v>Phone Order</x:v>
      </x:c>
      <x:c r="I685" s="25" t="str">
        <x:v>Office Supplies</x:v>
      </x:c>
      <x:c r="J685" s="25" t="str">
        <x:v>Ink Cartridge</x:v>
      </x:c>
      <x:c r="K685" s="25" t="n">
        <x:v>6</x:v>
      </x:c>
      <x:c r="L685" s="26" t="n">
        <x:v>792</x:v>
      </x:c>
      <x:c r="M685" s="27" t="n">
        <x:v>0.1</x:v>
      </x:c>
      <x:c r="N685" s="26" t="n">
        <x:f>K685*L685</x:f>
        <x:v>4752</x:v>
      </x:c>
      <x:c r="O685" s="26" t="n">
        <x:f>N685*(1-M685)</x:f>
        <x:v>4276.8</x:v>
      </x:c>
      <x:c r="P685" s="26" t="n">
        <x:v>563</x:v>
      </x:c>
      <x:c r="Q685" s="26" t="n">
        <x:f>K685*P685</x:f>
        <x:v>3378</x:v>
      </x:c>
      <x:c r="R685" s="26" t="n">
        <x:f>O685-Q685</x:f>
        <x:v>898.8000000000002</x:v>
      </x:c>
      <x:c r="S685" s="28" t="n">
        <x:f>IF(O685=0,0,R685/O685)</x:f>
        <x:v>0.21015712682379353</x:v>
      </x:c>
      <x:c r="T685" s="25" t="str">
        <x:v>Credit Card</x:v>
      </x:c>
      <x:c r="U685" s="25" t="str">
        <x:v>Completed</x:v>
      </x:c>
      <x:c r="V685" s="29" t="n">
        <x:v>4</x:v>
      </x:c>
    </x:row>
    <x:row r="686">
      <x:c r="A686" s="23" t="str">
        <x:v>MAN-2025-00685</x:v>
      </x:c>
      <x:c r="B686" s="24" t="n">
        <x:v>45976</x:v>
      </x:c>
      <x:c r="C686" s="25" t="str">
        <x:v>Mansoura</x:v>
      </x:c>
      <x:c r="D686" s="25" t="str">
        <x:v>Talkha</x:v>
      </x:c>
      <x:c r="E686" s="25" t="str">
        <x:v>Aya Farouk</x:v>
      </x:c>
      <x:c r="F686" s="25" t="str">
        <x:v>Mahmoud Ibrahim</x:v>
      </x:c>
      <x:c r="G686" s="25" t="str">
        <x:v>Corporate</x:v>
      </x:c>
      <x:c r="H686" s="25" t="str">
        <x:v>Retail Store</x:v>
      </x:c>
      <x:c r="I686" s="25" t="str">
        <x:v>Home Appliances</x:v>
      </x:c>
      <x:c r="J686" s="25" t="str">
        <x:v>Blender</x:v>
      </x:c>
      <x:c r="K686" s="25" t="n">
        <x:v>1</x:v>
      </x:c>
      <x:c r="L686" s="26" t="n">
        <x:v>1674</x:v>
      </x:c>
      <x:c r="M686" s="27" t="n">
        <x:v>0.1</x:v>
      </x:c>
      <x:c r="N686" s="26" t="n">
        <x:f>K686*L686</x:f>
        <x:v>1674</x:v>
      </x:c>
      <x:c r="O686" s="26" t="n">
        <x:f>N686*(1-M686)</x:f>
        <x:v>1506.6000000000001</x:v>
      </x:c>
      <x:c r="P686" s="26" t="n">
        <x:v>1279</x:v>
      </x:c>
      <x:c r="Q686" s="26" t="n">
        <x:f>K686*P686</x:f>
        <x:v>1279</x:v>
      </x:c>
      <x:c r="R686" s="26" t="n">
        <x:f>O686-Q686</x:f>
        <x:v>227.60000000000014</x:v>
      </x:c>
      <x:c r="S686" s="28" t="n">
        <x:f>IF(O686=0,0,R686/O686)</x:f>
        <x:v>0.15106863135536977</x:v>
      </x:c>
      <x:c r="T686" s="25" t="str">
        <x:v>Credit Card</x:v>
      </x:c>
      <x:c r="U686" s="25" t="str">
        <x:v>Completed</x:v>
      </x:c>
      <x:c r="V686" s="29" t="n">
        <x:v>5</x:v>
      </x:c>
    </x:row>
    <x:row r="687">
      <x:c r="A687" s="23" t="str">
        <x:v>MAN-2025-00686</x:v>
      </x:c>
      <x:c r="B687" s="24" t="n">
        <x:v>45907</x:v>
      </x:c>
      <x:c r="C687" s="25" t="str">
        <x:v>Mansoura</x:v>
      </x:c>
      <x:c r="D687" s="25" t="str">
        <x:v>Aga</x:v>
      </x:c>
      <x:c r="E687" s="25" t="str">
        <x:v>Aya Farouk</x:v>
      </x:c>
      <x:c r="F687" s="25" t="str">
        <x:v>Nour Ibrahim</x:v>
      </x:c>
      <x:c r="G687" s="25" t="str">
        <x:v>Consumer</x:v>
      </x:c>
      <x:c r="H687" s="25" t="str">
        <x:v>Website</x:v>
      </x:c>
      <x:c r="I687" s="25" t="str">
        <x:v>Electronics</x:v>
      </x:c>
      <x:c r="J687" s="25" t="str">
        <x:v>Tablet</x:v>
      </x:c>
      <x:c r="K687" s="25" t="n">
        <x:v>3</x:v>
      </x:c>
      <x:c r="L687" s="26" t="n">
        <x:v>8529</x:v>
      </x:c>
      <x:c r="M687" s="27" t="n">
        <x:v>0</x:v>
      </x:c>
      <x:c r="N687" s="26" t="n">
        <x:f>K687*L687</x:f>
        <x:v>25587</x:v>
      </x:c>
      <x:c r="O687" s="26" t="n">
        <x:f>N687*(1-M687)</x:f>
        <x:v>25587</x:v>
      </x:c>
      <x:c r="P687" s="26" t="n">
        <x:v>7200</x:v>
      </x:c>
      <x:c r="Q687" s="26" t="n">
        <x:f>K687*P687</x:f>
        <x:v>21600</x:v>
      </x:c>
      <x:c r="R687" s="26" t="n">
        <x:f>O687-Q687</x:f>
        <x:v>3987</x:v>
      </x:c>
      <x:c r="S687" s="28" t="n">
        <x:f>IF(O687=0,0,R687/O687)</x:f>
        <x:v>0.15582131551178333</x:v>
      </x:c>
      <x:c r="T687" s="25" t="str">
        <x:v>Credit Card</x:v>
      </x:c>
      <x:c r="U687" s="25" t="str">
        <x:v>Returned</x:v>
      </x:c>
      <x:c r="V687" s="29" t="n">
        <x:v>5</x:v>
      </x:c>
    </x:row>
    <x:row r="688">
      <x:c r="A688" s="23" t="str">
        <x:v>MAN-2025-00687</x:v>
      </x:c>
      <x:c r="B688" s="24" t="n">
        <x:v>45725</x:v>
      </x:c>
      <x:c r="C688" s="25" t="str">
        <x:v>Mansoura</x:v>
      </x:c>
      <x:c r="D688" s="25" t="str">
        <x:v>Aga</x:v>
      </x:c>
      <x:c r="E688" s="25" t="str">
        <x:v>Aya Farouk</x:v>
      </x:c>
      <x:c r="F688" s="25" t="str">
        <x:v>Amr Ibrahim</x:v>
      </x:c>
      <x:c r="G688" s="25" t="str">
        <x:v>Corporate</x:v>
      </x:c>
      <x:c r="H688" s="25" t="str">
        <x:v>Website</x:v>
      </x:c>
      <x:c r="I688" s="25" t="str">
        <x:v>Furniture</x:v>
      </x:c>
      <x:c r="J688" s="25" t="str">
        <x:v>Bookshelf</x:v>
      </x:c>
      <x:c r="K688" s="25" t="n">
        <x:v>6</x:v>
      </x:c>
      <x:c r="L688" s="26" t="n">
        <x:v>3050</x:v>
      </x:c>
      <x:c r="M688" s="27" t="n">
        <x:v>0.05</x:v>
      </x:c>
      <x:c r="N688" s="26" t="n">
        <x:f>K688*L688</x:f>
        <x:v>18300</x:v>
      </x:c>
      <x:c r="O688" s="26" t="n">
        <x:f>N688*(1-M688)</x:f>
        <x:v>17385</x:v>
      </x:c>
      <x:c r="P688" s="26" t="n">
        <x:v>2213</x:v>
      </x:c>
      <x:c r="Q688" s="26" t="n">
        <x:f>K688*P688</x:f>
        <x:v>13278</x:v>
      </x:c>
      <x:c r="R688" s="26" t="n">
        <x:f>O688-Q688</x:f>
        <x:v>4107</x:v>
      </x:c>
      <x:c r="S688" s="28" t="n">
        <x:f>IF(O688=0,0,R688/O688)</x:f>
        <x:v>0.2362381363244176</x:v>
      </x:c>
      <x:c r="T688" s="25" t="str">
        <x:v>Cash</x:v>
      </x:c>
      <x:c r="U688" s="25" t="str">
        <x:v>Completed</x:v>
      </x:c>
      <x:c r="V688" s="29" t="n">
        <x:v>4</x:v>
      </x:c>
    </x:row>
    <x:row r="689">
      <x:c r="A689" s="23" t="str">
        <x:v>MAN-2025-00688</x:v>
      </x:c>
      <x:c r="B689" s="24" t="n">
        <x:v>45954</x:v>
      </x:c>
      <x:c r="C689" s="25" t="str">
        <x:v>Mansoura</x:v>
      </x:c>
      <x:c r="D689" s="25" t="str">
        <x:v>Mansoura City</x:v>
      </x:c>
      <x:c r="E689" s="25" t="str">
        <x:v>Ali Sayed</x:v>
      </x:c>
      <x:c r="F689" s="25" t="str">
        <x:v>Hana Ibrahim</x:v>
      </x:c>
      <x:c r="G689" s="25" t="str">
        <x:v>Corporate</x:v>
      </x:c>
      <x:c r="H689" s="25" t="str">
        <x:v>Retail Store</x:v>
      </x:c>
      <x:c r="I689" s="25" t="str">
        <x:v>Electronics</x:v>
      </x:c>
      <x:c r="J689" s="25" t="str">
        <x:v>Laptop</x:v>
      </x:c>
      <x:c r="K689" s="25" t="n">
        <x:v>1</x:v>
      </x:c>
      <x:c r="L689" s="26" t="n">
        <x:v>24597</x:v>
      </x:c>
      <x:c r="M689" s="27" t="n">
        <x:v>0.15</x:v>
      </x:c>
      <x:c r="N689" s="26" t="n">
        <x:f>K689*L689</x:f>
        <x:v>24597</x:v>
      </x:c>
      <x:c r="O689" s="26" t="n">
        <x:f>N689*(1-M689)</x:f>
        <x:v>20907.45</x:v>
      </x:c>
      <x:c r="P689" s="26" t="n">
        <x:v>21281</x:v>
      </x:c>
      <x:c r="Q689" s="26" t="n">
        <x:f>K689*P689</x:f>
        <x:v>21281</x:v>
      </x:c>
      <x:c r="R689" s="26" t="n">
        <x:f>O689-Q689</x:f>
        <x:v>-373.5499999999993</x:v>
      </x:c>
      <x:c r="S689" s="28" t="n">
        <x:f>IF(O689=0,0,R689/O689)</x:f>
        <x:v>-0.017866836940899022</x:v>
      </x:c>
      <x:c r="T689" s="25" t="str">
        <x:v>Bank Transfer</x:v>
      </x:c>
      <x:c r="U689" s="25" t="str">
        <x:v>Completed</x:v>
      </x:c>
      <x:c r="V689" s="29" t="n">
        <x:v>5</x:v>
      </x:c>
    </x:row>
    <x:row r="690">
      <x:c r="A690" s="23" t="str">
        <x:v>MAN-2025-00689</x:v>
      </x:c>
      <x:c r="B690" s="24" t="n">
        <x:v>45719</x:v>
      </x:c>
      <x:c r="C690" s="25" t="str">
        <x:v>Mansoura</x:v>
      </x:c>
      <x:c r="D690" s="25" t="str">
        <x:v>Sherbin</x:v>
      </x:c>
      <x:c r="E690" s="25" t="str">
        <x:v>Salma Mansour</x:v>
      </x:c>
      <x:c r="F690" s="25" t="str">
        <x:v>Amr Gamal</x:v>
      </x:c>
      <x:c r="G690" s="25" t="str">
        <x:v>Small Business</x:v>
      </x:c>
      <x:c r="H690" s="25" t="str">
        <x:v>Retail Store</x:v>
      </x:c>
      <x:c r="I690" s="25" t="str">
        <x:v>Office Supplies</x:v>
      </x:c>
      <x:c r="J690" s="25" t="str">
        <x:v>Ink Cartridge</x:v>
      </x:c>
      <x:c r="K690" s="25" t="n">
        <x:v>5</x:v>
      </x:c>
      <x:c r="L690" s="26" t="n">
        <x:v>859</x:v>
      </x:c>
      <x:c r="M690" s="27" t="n">
        <x:v>0</x:v>
      </x:c>
      <x:c r="N690" s="26" t="n">
        <x:f>K690*L690</x:f>
        <x:v>4295</x:v>
      </x:c>
      <x:c r="O690" s="26" t="n">
        <x:f>N690*(1-M690)</x:f>
        <x:v>4295</x:v>
      </x:c>
      <x:c r="P690" s="26" t="n">
        <x:v>553</x:v>
      </x:c>
      <x:c r="Q690" s="26" t="n">
        <x:f>K690*P690</x:f>
        <x:v>2765</x:v>
      </x:c>
      <x:c r="R690" s="26" t="n">
        <x:f>O690-Q690</x:f>
        <x:v>1530</x:v>
      </x:c>
      <x:c r="S690" s="28" t="n">
        <x:f>IF(O690=0,0,R690/O690)</x:f>
        <x:v>0.3562281722933644</x:v>
      </x:c>
      <x:c r="T690" s="25" t="str">
        <x:v>Credit Card</x:v>
      </x:c>
      <x:c r="U690" s="25" t="str">
        <x:v>Cancelled</x:v>
      </x:c>
      <x:c r="V690" s="29" t="n">
        <x:v>4</x:v>
      </x:c>
    </x:row>
    <x:row r="691">
      <x:c r="A691" s="23" t="str">
        <x:v>MAN-2025-00690</x:v>
      </x:c>
      <x:c r="B691" s="24" t="n">
        <x:v>46008</x:v>
      </x:c>
      <x:c r="C691" s="25" t="str">
        <x:v>Mansoura</x:v>
      </x:c>
      <x:c r="D691" s="25" t="str">
        <x:v>Aga</x:v>
      </x:c>
      <x:c r="E691" s="25" t="str">
        <x:v>Ali Sayed</x:v>
      </x:c>
      <x:c r="F691" s="25" t="str">
        <x:v>Karim Farouk</x:v>
      </x:c>
      <x:c r="G691" s="25" t="str">
        <x:v>Corporate</x:v>
      </x:c>
      <x:c r="H691" s="25" t="str">
        <x:v>Retail Store</x:v>
      </x:c>
      <x:c r="I691" s="25" t="str">
        <x:v>Electronics</x:v>
      </x:c>
      <x:c r="J691" s="25" t="str">
        <x:v>Smartphone</x:v>
      </x:c>
      <x:c r="K691" s="25" t="n">
        <x:v>3</x:v>
      </x:c>
      <x:c r="L691" s="26" t="n">
        <x:v>13418</x:v>
      </x:c>
      <x:c r="M691" s="27" t="n">
        <x:v>0</x:v>
      </x:c>
      <x:c r="N691" s="26" t="n">
        <x:f>K691*L691</x:f>
        <x:v>40254</x:v>
      </x:c>
      <x:c r="O691" s="26" t="n">
        <x:f>N691*(1-M691)</x:f>
        <x:v>40254</x:v>
      </x:c>
      <x:c r="P691" s="26" t="n">
        <x:v>10791</x:v>
      </x:c>
      <x:c r="Q691" s="26" t="n">
        <x:f>K691*P691</x:f>
        <x:v>32373</x:v>
      </x:c>
      <x:c r="R691" s="26" t="n">
        <x:f>O691-Q691</x:f>
        <x:v>7881</x:v>
      </x:c>
      <x:c r="S691" s="28" t="n">
        <x:f>IF(O691=0,0,R691/O691)</x:f>
        <x:v>0.1957817856610523</x:v>
      </x:c>
      <x:c r="T691" s="25" t="str">
        <x:v>Bank Transfer</x:v>
      </x:c>
      <x:c r="U691" s="25" t="str">
        <x:v>Completed</x:v>
      </x:c>
      <x:c r="V691" s="29" t="n">
        <x:v>5</x:v>
      </x:c>
    </x:row>
    <x:row r="692">
      <x:c r="A692" s="23" t="str">
        <x:v>MAN-2025-00691</x:v>
      </x:c>
      <x:c r="B692" s="24" t="n">
        <x:v>45730</x:v>
      </x:c>
      <x:c r="C692" s="25" t="str">
        <x:v>Mansoura</x:v>
      </x:c>
      <x:c r="D692" s="25" t="str">
        <x:v>Talkha</x:v>
      </x:c>
      <x:c r="E692" s="25" t="str">
        <x:v>Ali Sayed</x:v>
      </x:c>
      <x:c r="F692" s="25" t="str">
        <x:v>Ahmed Khalil</x:v>
      </x:c>
      <x:c r="G692" s="25" t="str">
        <x:v>Small Business</x:v>
      </x:c>
      <x:c r="H692" s="25" t="str">
        <x:v>Website</x:v>
      </x:c>
      <x:c r="I692" s="25" t="str">
        <x:v>Office Supplies</x:v>
      </x:c>
      <x:c r="J692" s="25" t="str">
        <x:v>Printer</x:v>
      </x:c>
      <x:c r="K692" s="25" t="n">
        <x:v>1</x:v>
      </x:c>
      <x:c r="L692" s="26" t="n">
        <x:v>6830</x:v>
      </x:c>
      <x:c r="M692" s="27" t="n">
        <x:v>0</x:v>
      </x:c>
      <x:c r="N692" s="26" t="n">
        <x:f>K692*L692</x:f>
        <x:v>6830</x:v>
      </x:c>
      <x:c r="O692" s="26" t="n">
        <x:f>N692*(1-M692)</x:f>
        <x:v>6830</x:v>
      </x:c>
      <x:c r="P692" s="26" t="n">
        <x:v>5368</x:v>
      </x:c>
      <x:c r="Q692" s="26" t="n">
        <x:f>K692*P692</x:f>
        <x:v>5368</x:v>
      </x:c>
      <x:c r="R692" s="26" t="n">
        <x:f>O692-Q692</x:f>
        <x:v>1462</x:v>
      </x:c>
      <x:c r="S692" s="28" t="n">
        <x:f>IF(O692=0,0,R692/O692)</x:f>
        <x:v>0.21405563689604684</x:v>
      </x:c>
      <x:c r="T692" s="25" t="str">
        <x:v>Debit Card</x:v>
      </x:c>
      <x:c r="U692" s="25" t="str">
        <x:v>Completed</x:v>
      </x:c>
      <x:c r="V692" s="29" t="n">
        <x:v>5</x:v>
      </x:c>
    </x:row>
    <x:row r="693">
      <x:c r="A693" s="23" t="str">
        <x:v>MAN-2025-00692</x:v>
      </x:c>
      <x:c r="B693" s="24" t="n">
        <x:v>45660</x:v>
      </x:c>
      <x:c r="C693" s="25" t="str">
        <x:v>Mansoura</x:v>
      </x:c>
      <x:c r="D693" s="25" t="str">
        <x:v>Aga</x:v>
      </x:c>
      <x:c r="E693" s="25" t="str">
        <x:v>Salma Mansour</x:v>
      </x:c>
      <x:c r="F693" s="25" t="str">
        <x:v>Karim Fathy</x:v>
      </x:c>
      <x:c r="G693" s="25" t="str">
        <x:v>Consumer</x:v>
      </x:c>
      <x:c r="H693" s="25" t="str">
        <x:v>Phone Order</x:v>
      </x:c>
      <x:c r="I693" s="25" t="str">
        <x:v>Home Appliances</x:v>
      </x:c>
      <x:c r="J693" s="25" t="str">
        <x:v>Blender</x:v>
      </x:c>
      <x:c r="K693" s="25" t="n">
        <x:v>4</x:v>
      </x:c>
      <x:c r="L693" s="26" t="n">
        <x:v>1769</x:v>
      </x:c>
      <x:c r="M693" s="27" t="n">
        <x:v>0.1</x:v>
      </x:c>
      <x:c r="N693" s="26" t="n">
        <x:f>K693*L693</x:f>
        <x:v>7076</x:v>
      </x:c>
      <x:c r="O693" s="26" t="n">
        <x:f>N693*(1-M693)</x:f>
        <x:v>6368.400000000001</x:v>
      </x:c>
      <x:c r="P693" s="26" t="n">
        <x:v>1244</x:v>
      </x:c>
      <x:c r="Q693" s="26" t="n">
        <x:f>K693*P693</x:f>
        <x:v>4976</x:v>
      </x:c>
      <x:c r="R693" s="26" t="n">
        <x:f>O693-Q693</x:f>
        <x:v>1392.4000000000005</x:v>
      </x:c>
      <x:c r="S693" s="28" t="n">
        <x:f>IF(O693=0,0,R693/O693)</x:f>
        <x:v>0.21864204509766982</x:v>
      </x:c>
      <x:c r="T693" s="25" t="str">
        <x:v>Digital Wallet</x:v>
      </x:c>
      <x:c r="U693" s="25" t="str">
        <x:v>Completed</x:v>
      </x:c>
      <x:c r="V693" s="29" t="n">
        <x:v>4</x:v>
      </x:c>
    </x:row>
    <x:row r="694">
      <x:c r="A694" s="23" t="str">
        <x:v>MAN-2025-00693</x:v>
      </x:c>
      <x:c r="B694" s="24" t="n">
        <x:v>45968</x:v>
      </x:c>
      <x:c r="C694" s="25" t="str">
        <x:v>Mansoura</x:v>
      </x:c>
      <x:c r="D694" s="25" t="str">
        <x:v>Mansoura City</x:v>
      </x:c>
      <x:c r="E694" s="25" t="str">
        <x:v>Aya Farouk</x:v>
      </x:c>
      <x:c r="F694" s="25" t="str">
        <x:v>Hana Sayed</x:v>
      </x:c>
      <x:c r="G694" s="25" t="str">
        <x:v>Corporate</x:v>
      </x:c>
      <x:c r="H694" s="25" t="str">
        <x:v>Phone Order</x:v>
      </x:c>
      <x:c r="I694" s="25" t="str">
        <x:v>Office Supplies</x:v>
      </x:c>
      <x:c r="J694" s="25" t="str">
        <x:v>Ink Cartridge</x:v>
      </x:c>
      <x:c r="K694" s="25" t="n">
        <x:v>6</x:v>
      </x:c>
      <x:c r="L694" s="26" t="n">
        <x:v>797</x:v>
      </x:c>
      <x:c r="M694" s="27" t="n">
        <x:v>0</x:v>
      </x:c>
      <x:c r="N694" s="26" t="n">
        <x:f>K694*L694</x:f>
        <x:v>4782</x:v>
      </x:c>
      <x:c r="O694" s="26" t="n">
        <x:f>N694*(1-M694)</x:f>
        <x:v>4782</x:v>
      </x:c>
      <x:c r="P694" s="26" t="n">
        <x:v>583</x:v>
      </x:c>
      <x:c r="Q694" s="26" t="n">
        <x:f>K694*P694</x:f>
        <x:v>3498</x:v>
      </x:c>
      <x:c r="R694" s="26" t="n">
        <x:f>O694-Q694</x:f>
        <x:v>1284</x:v>
      </x:c>
      <x:c r="S694" s="28" t="n">
        <x:f>IF(O694=0,0,R694/O694)</x:f>
        <x:v>0.2685069008782936</x:v>
      </x:c>
      <x:c r="T694" s="25" t="str">
        <x:v>Digital Wallet</x:v>
      </x:c>
      <x:c r="U694" s="25" t="str">
        <x:v>Completed</x:v>
      </x:c>
      <x:c r="V694" s="29" t="n">
        <x:v>5</x:v>
      </x:c>
    </x:row>
    <x:row r="695">
      <x:c r="A695" s="23" t="str">
        <x:v>MAN-2025-00694</x:v>
      </x:c>
      <x:c r="B695" s="24" t="n">
        <x:v>45972</x:v>
      </x:c>
      <x:c r="C695" s="25" t="str">
        <x:v>Mansoura</x:v>
      </x:c>
      <x:c r="D695" s="25" t="str">
        <x:v>Mansoura City</x:v>
      </x:c>
      <x:c r="E695" s="25" t="str">
        <x:v>Salma Mansour</x:v>
      </x:c>
      <x:c r="F695" s="25" t="str">
        <x:v>Mostafa Farouk</x:v>
      </x:c>
      <x:c r="G695" s="25" t="str">
        <x:v>Small Business</x:v>
      </x:c>
      <x:c r="H695" s="25" t="str">
        <x:v>Retail Store</x:v>
      </x:c>
      <x:c r="I695" s="25" t="str">
        <x:v>Furniture</x:v>
      </x:c>
      <x:c r="J695" s="25" t="str">
        <x:v>Office Chair</x:v>
      </x:c>
      <x:c r="K695" s="25" t="n">
        <x:v>6</x:v>
      </x:c>
      <x:c r="L695" s="26" t="n">
        <x:v>3629</x:v>
      </x:c>
      <x:c r="M695" s="27" t="n">
        <x:v>0.15</x:v>
      </x:c>
      <x:c r="N695" s="26" t="n">
        <x:f>K695*L695</x:f>
        <x:v>21774</x:v>
      </x:c>
      <x:c r="O695" s="26" t="n">
        <x:f>N695*(1-M695)</x:f>
        <x:v>18507.899999999998</x:v>
      </x:c>
      <x:c r="P695" s="26" t="n">
        <x:v>2770</x:v>
      </x:c>
      <x:c r="Q695" s="26" t="n">
        <x:f>K695*P695</x:f>
        <x:v>16620</x:v>
      </x:c>
      <x:c r="R695" s="26" t="n">
        <x:f>O695-Q695</x:f>
        <x:v>1887.8999999999978</x:v>
      </x:c>
      <x:c r="S695" s="28" t="n">
        <x:f>IF(O695=0,0,R695/O695)</x:f>
        <x:v>0.10200508971844445</x:v>
      </x:c>
      <x:c r="T695" s="25" t="str">
        <x:v>Debit Card</x:v>
      </x:c>
      <x:c r="U695" s="25" t="str">
        <x:v>Completed</x:v>
      </x:c>
      <x:c r="V695" s="29" t="n">
        <x:v>4</x:v>
      </x:c>
    </x:row>
    <x:row r="696">
      <x:c r="A696" s="23" t="str">
        <x:v>MAN-2025-00695</x:v>
      </x:c>
      <x:c r="B696" s="24" t="n">
        <x:v>45688</x:v>
      </x:c>
      <x:c r="C696" s="25" t="str">
        <x:v>Mansoura</x:v>
      </x:c>
      <x:c r="D696" s="25" t="str">
        <x:v>Mit Ghamr</x:v>
      </x:c>
      <x:c r="E696" s="25" t="str">
        <x:v>Aya Farouk</x:v>
      </x:c>
      <x:c r="F696" s="25" t="str">
        <x:v>Ali Sayed</x:v>
      </x:c>
      <x:c r="G696" s="25" t="str">
        <x:v>Corporate</x:v>
      </x:c>
      <x:c r="H696" s="25" t="str">
        <x:v>Mobile App</x:v>
      </x:c>
      <x:c r="I696" s="25" t="str">
        <x:v>Electronics</x:v>
      </x:c>
      <x:c r="J696" s="25" t="str">
        <x:v>Tablet</x:v>
      </x:c>
      <x:c r="K696" s="25" t="n">
        <x:v>4</x:v>
      </x:c>
      <x:c r="L696" s="26" t="n">
        <x:v>9042</x:v>
      </x:c>
      <x:c r="M696" s="27" t="n">
        <x:v>0</x:v>
      </x:c>
      <x:c r="N696" s="26" t="n">
        <x:f>K696*L696</x:f>
        <x:v>36168</x:v>
      </x:c>
      <x:c r="O696" s="26" t="n">
        <x:f>N696*(1-M696)</x:f>
        <x:v>36168</x:v>
      </x:c>
      <x:c r="P696" s="26" t="n">
        <x:v>7591</x:v>
      </x:c>
      <x:c r="Q696" s="26" t="n">
        <x:f>K696*P696</x:f>
        <x:v>30364</x:v>
      </x:c>
      <x:c r="R696" s="26" t="n">
        <x:f>O696-Q696</x:f>
        <x:v>5804</x:v>
      </x:c>
      <x:c r="S696" s="28" t="n">
        <x:f>IF(O696=0,0,R696/O696)</x:f>
        <x:v>0.16047334660473347</x:v>
      </x:c>
      <x:c r="T696" s="25" t="str">
        <x:v>Digital Wallet</x:v>
      </x:c>
      <x:c r="U696" s="25" t="str">
        <x:v>Completed</x:v>
      </x:c>
      <x:c r="V696" s="29" t="n">
        <x:v>5</x:v>
      </x:c>
    </x:row>
    <x:row r="697">
      <x:c r="A697" s="23" t="str">
        <x:v>MAN-2025-00696</x:v>
      </x:c>
      <x:c r="B697" s="24" t="n">
        <x:v>45785</x:v>
      </x:c>
      <x:c r="C697" s="25" t="str">
        <x:v>Mansoura</x:v>
      </x:c>
      <x:c r="D697" s="25" t="str">
        <x:v>Aga</x:v>
      </x:c>
      <x:c r="E697" s="25" t="str">
        <x:v>Youssef Fathy</x:v>
      </x:c>
      <x:c r="F697" s="25" t="str">
        <x:v>Amr Sayed</x:v>
      </x:c>
      <x:c r="G697" s="25" t="str">
        <x:v>Corporate</x:v>
      </x:c>
      <x:c r="H697" s="25" t="str">
        <x:v>Website</x:v>
      </x:c>
      <x:c r="I697" s="25" t="str">
        <x:v>Furniture</x:v>
      </x:c>
      <x:c r="J697" s="25" t="str">
        <x:v>Bookshelf</x:v>
      </x:c>
      <x:c r="K697" s="25" t="n">
        <x:v>1</x:v>
      </x:c>
      <x:c r="L697" s="26" t="n">
        <x:v>3192</x:v>
      </x:c>
      <x:c r="M697" s="27" t="n">
        <x:v>0.1</x:v>
      </x:c>
      <x:c r="N697" s="26" t="n">
        <x:f>K697*L697</x:f>
        <x:v>3192</x:v>
      </x:c>
      <x:c r="O697" s="26" t="n">
        <x:f>N697*(1-M697)</x:f>
        <x:v>2872.8</x:v>
      </x:c>
      <x:c r="P697" s="26" t="n">
        <x:v>2205</x:v>
      </x:c>
      <x:c r="Q697" s="26" t="n">
        <x:f>K697*P697</x:f>
        <x:v>2205</x:v>
      </x:c>
      <x:c r="R697" s="26" t="n">
        <x:f>O697-Q697</x:f>
        <x:v>667.8000000000002</x:v>
      </x:c>
      <x:c r="S697" s="28" t="n">
        <x:f>IF(O697=0,0,R697/O697)</x:f>
        <x:v>0.23245614035087725</x:v>
      </x:c>
      <x:c r="T697" s="25" t="str">
        <x:v>Cash</x:v>
      </x:c>
      <x:c r="U697" s="25" t="str">
        <x:v>Completed</x:v>
      </x:c>
      <x:c r="V697" s="29" t="n">
        <x:v>5</x:v>
      </x:c>
    </x:row>
    <x:row r="698">
      <x:c r="A698" s="23" t="str">
        <x:v>MAN-2025-00697</x:v>
      </x:c>
      <x:c r="B698" s="24" t="n">
        <x:v>45787</x:v>
      </x:c>
      <x:c r="C698" s="25" t="str">
        <x:v>Mansoura</x:v>
      </x:c>
      <x:c r="D698" s="25" t="str">
        <x:v>Mansoura City</x:v>
      </x:c>
      <x:c r="E698" s="25" t="str">
        <x:v>Ali Sayed</x:v>
      </x:c>
      <x:c r="F698" s="25" t="str">
        <x:v>Mariam Fathy</x:v>
      </x:c>
      <x:c r="G698" s="25" t="str">
        <x:v>Consumer</x:v>
      </x:c>
      <x:c r="H698" s="25" t="str">
        <x:v>Website</x:v>
      </x:c>
      <x:c r="I698" s="25" t="str">
        <x:v>Electronics</x:v>
      </x:c>
      <x:c r="J698" s="25" t="str">
        <x:v>Laptop</x:v>
      </x:c>
      <x:c r="K698" s="25" t="n">
        <x:v>3</x:v>
      </x:c>
      <x:c r="L698" s="26" t="n">
        <x:v>23197</x:v>
      </x:c>
      <x:c r="M698" s="27" t="n">
        <x:v>0.05</x:v>
      </x:c>
      <x:c r="N698" s="26" t="n">
        <x:f>K698*L698</x:f>
        <x:v>69591</x:v>
      </x:c>
      <x:c r="O698" s="26" t="n">
        <x:f>N698*(1-M698)</x:f>
        <x:v>66111.45</x:v>
      </x:c>
      <x:c r="P698" s="26" t="n">
        <x:v>21106</x:v>
      </x:c>
      <x:c r="Q698" s="26" t="n">
        <x:f>K698*P698</x:f>
        <x:v>63318</x:v>
      </x:c>
      <x:c r="R698" s="26" t="n">
        <x:f>O698-Q698</x:f>
        <x:v>2793.449999999997</x:v>
      </x:c>
      <x:c r="S698" s="28" t="n">
        <x:f>IF(O698=0,0,R698/O698)</x:f>
        <x:v>0.04225364895188348</x:v>
      </x:c>
      <x:c r="T698" s="25" t="str">
        <x:v>Digital Wallet</x:v>
      </x:c>
      <x:c r="U698" s="25" t="str">
        <x:v>Completed</x:v>
      </x:c>
      <x:c r="V698" s="29" t="n">
        <x:v>3</x:v>
      </x:c>
    </x:row>
    <x:row r="699">
      <x:c r="A699" s="23" t="str">
        <x:v>MAN-2025-00698</x:v>
      </x:c>
      <x:c r="B699" s="24" t="n">
        <x:v>45729</x:v>
      </x:c>
      <x:c r="C699" s="25" t="str">
        <x:v>Mansoura</x:v>
      </x:c>
      <x:c r="D699" s="25" t="str">
        <x:v>Talkha</x:v>
      </x:c>
      <x:c r="E699" s="25" t="str">
        <x:v>Ali Sayed</x:v>
      </x:c>
      <x:c r="F699" s="25" t="str">
        <x:v>Salma Sayed</x:v>
      </x:c>
      <x:c r="G699" s="25" t="str">
        <x:v>Corporate</x:v>
      </x:c>
      <x:c r="H699" s="25" t="str">
        <x:v>Website</x:v>
      </x:c>
      <x:c r="I699" s="25" t="str">
        <x:v>Furniture</x:v>
      </x:c>
      <x:c r="J699" s="25" t="str">
        <x:v>Sofa</x:v>
      </x:c>
      <x:c r="K699" s="25" t="n">
        <x:v>6</x:v>
      </x:c>
      <x:c r="L699" s="26" t="n">
        <x:v>12595</x:v>
      </x:c>
      <x:c r="M699" s="27" t="n">
        <x:v>0.05</x:v>
      </x:c>
      <x:c r="N699" s="26" t="n">
        <x:f>K699*L699</x:f>
        <x:v>75570</x:v>
      </x:c>
      <x:c r="O699" s="26" t="n">
        <x:f>N699*(1-M699)</x:f>
        <x:v>71791.5</x:v>
      </x:c>
      <x:c r="P699" s="26" t="n">
        <x:v>10833</x:v>
      </x:c>
      <x:c r="Q699" s="26" t="n">
        <x:f>K699*P699</x:f>
        <x:v>64998</x:v>
      </x:c>
      <x:c r="R699" s="26" t="n">
        <x:f>O699-Q699</x:f>
        <x:v>6793.5</x:v>
      </x:c>
      <x:c r="S699" s="28" t="n">
        <x:f>IF(O699=0,0,R699/O699)</x:f>
        <x:v>0.09462819414554648</x:v>
      </x:c>
      <x:c r="T699" s="25" t="str">
        <x:v>Credit Card</x:v>
      </x:c>
      <x:c r="U699" s="25" t="str">
        <x:v>Completed</x:v>
      </x:c>
      <x:c r="V699" s="29" t="n">
        <x:v>4</x:v>
      </x:c>
    </x:row>
    <x:row r="700">
      <x:c r="A700" s="23" t="str">
        <x:v>MAN-2025-00699</x:v>
      </x:c>
      <x:c r="B700" s="24" t="n">
        <x:v>45670</x:v>
      </x:c>
      <x:c r="C700" s="25" t="str">
        <x:v>Mansoura</x:v>
      </x:c>
      <x:c r="D700" s="25" t="str">
        <x:v>Mansoura City</x:v>
      </x:c>
      <x:c r="E700" s="25" t="str">
        <x:v>Aya Farouk</x:v>
      </x:c>
      <x:c r="F700" s="25" t="str">
        <x:v>Sara Nasser</x:v>
      </x:c>
      <x:c r="G700" s="25" t="str">
        <x:v>Corporate</x:v>
      </x:c>
      <x:c r="H700" s="25" t="str">
        <x:v>Website</x:v>
      </x:c>
      <x:c r="I700" s="25" t="str">
        <x:v>Home Appliances</x:v>
      </x:c>
      <x:c r="J700" s="25" t="str">
        <x:v>Blender</x:v>
      </x:c>
      <x:c r="K700" s="25" t="n">
        <x:v>4</x:v>
      </x:c>
      <x:c r="L700" s="26" t="n">
        <x:v>1807</x:v>
      </x:c>
      <x:c r="M700" s="27" t="n">
        <x:v>0</x:v>
      </x:c>
      <x:c r="N700" s="26" t="n">
        <x:f>K700*L700</x:f>
        <x:v>7228</x:v>
      </x:c>
      <x:c r="O700" s="26" t="n">
        <x:f>N700*(1-M700)</x:f>
        <x:v>7228</x:v>
      </x:c>
      <x:c r="P700" s="26" t="n">
        <x:v>1255</x:v>
      </x:c>
      <x:c r="Q700" s="26" t="n">
        <x:f>K700*P700</x:f>
        <x:v>5020</x:v>
      </x:c>
      <x:c r="R700" s="26" t="n">
        <x:f>O700-Q700</x:f>
        <x:v>2208</x:v>
      </x:c>
      <x:c r="S700" s="28" t="n">
        <x:f>IF(O700=0,0,R700/O700)</x:f>
        <x:v>0.3054786939679026</x:v>
      </x:c>
      <x:c r="T700" s="25" t="str">
        <x:v>Digital Wallet</x:v>
      </x:c>
      <x:c r="U700" s="25" t="str">
        <x:v>Completed</x:v>
      </x:c>
      <x:c r="V700" s="29" t="n">
        <x:v>4</x:v>
      </x:c>
    </x:row>
    <x:row r="701">
      <x:c r="A701" s="23" t="str">
        <x:v>MAN-2025-00700</x:v>
      </x:c>
      <x:c r="B701" s="24" t="n">
        <x:v>45839</x:v>
      </x:c>
      <x:c r="C701" s="25" t="str">
        <x:v>Mansoura</x:v>
      </x:c>
      <x:c r="D701" s="25" t="str">
        <x:v>Sherbin</x:v>
      </x:c>
      <x:c r="E701" s="25" t="str">
        <x:v>Youssef Fathy</x:v>
      </x:c>
      <x:c r="F701" s="25" t="str">
        <x:v>Youssef Hassan</x:v>
      </x:c>
      <x:c r="G701" s="25" t="str">
        <x:v>Consumer</x:v>
      </x:c>
      <x:c r="H701" s="25" t="str">
        <x:v>Website</x:v>
      </x:c>
      <x:c r="I701" s="25" t="str">
        <x:v>Electronics</x:v>
      </x:c>
      <x:c r="J701" s="25" t="str">
        <x:v>Smartphone</x:v>
      </x:c>
      <x:c r="K701" s="25" t="n">
        <x:v>4</x:v>
      </x:c>
      <x:c r="L701" s="26" t="n">
        <x:v>13096</x:v>
      </x:c>
      <x:c r="M701" s="27" t="n">
        <x:v>0.1</x:v>
      </x:c>
      <x:c r="N701" s="26" t="n">
        <x:f>K701*L701</x:f>
        <x:v>52384</x:v>
      </x:c>
      <x:c r="O701" s="26" t="n">
        <x:f>N701*(1-M701)</x:f>
        <x:v>47145.6</x:v>
      </x:c>
      <x:c r="P701" s="26" t="n">
        <x:v>10536</x:v>
      </x:c>
      <x:c r="Q701" s="26" t="n">
        <x:f>K701*P701</x:f>
        <x:v>42144</x:v>
      </x:c>
      <x:c r="R701" s="26" t="n">
        <x:f>O701-Q701</x:f>
        <x:v>5001.5999999999985</x:v>
      </x:c>
      <x:c r="S701" s="28" t="n">
        <x:f>IF(O701=0,0,R701/O701)</x:f>
        <x:v>0.10608837304011401</x:v>
      </x:c>
      <x:c r="T701" s="25" t="str">
        <x:v>Bank Transfer</x:v>
      </x:c>
      <x:c r="U701" s="25" t="str">
        <x:v>Completed</x:v>
      </x:c>
      <x:c r="V701" s="29" t="n">
        <x:v>4</x:v>
      </x:c>
    </x:row>
    <x:row r="702">
      <x:c r="A702" s="23" t="str">
        <x:v>MAN-2025-00701</x:v>
      </x:c>
      <x:c r="B702" s="24" t="n">
        <x:v>45731</x:v>
      </x:c>
      <x:c r="C702" s="25" t="str">
        <x:v>Mansoura</x:v>
      </x:c>
      <x:c r="D702" s="25" t="str">
        <x:v>Mit Ghamr</x:v>
      </x:c>
      <x:c r="E702" s="25" t="str">
        <x:v>Youssef Fathy</x:v>
      </x:c>
      <x:c r="F702" s="25" t="str">
        <x:v>Nour Hassan</x:v>
      </x:c>
      <x:c r="G702" s="25" t="str">
        <x:v>Small Business</x:v>
      </x:c>
      <x:c r="H702" s="25" t="str">
        <x:v>Retail Store</x:v>
      </x:c>
      <x:c r="I702" s="25" t="str">
        <x:v>Furniture</x:v>
      </x:c>
      <x:c r="J702" s="25" t="str">
        <x:v>Desk</x:v>
      </x:c>
      <x:c r="K702" s="25" t="n">
        <x:v>1</x:v>
      </x:c>
      <x:c r="L702" s="26" t="n">
        <x:v>4859</x:v>
      </x:c>
      <x:c r="M702" s="27" t="n">
        <x:v>0.05</x:v>
      </x:c>
      <x:c r="N702" s="26" t="n">
        <x:f>K702*L702</x:f>
        <x:v>4859</x:v>
      </x:c>
      <x:c r="O702" s="26" t="n">
        <x:f>N702*(1-M702)</x:f>
        <x:v>4616.05</x:v>
      </x:c>
      <x:c r="P702" s="26" t="n">
        <x:v>3844</x:v>
      </x:c>
      <x:c r="Q702" s="26" t="n">
        <x:f>K702*P702</x:f>
        <x:v>3844</x:v>
      </x:c>
      <x:c r="R702" s="26" t="n">
        <x:f>O702-Q702</x:f>
        <x:v>772.0500000000002</x:v>
      </x:c>
      <x:c r="S702" s="28" t="n">
        <x:f>IF(O702=0,0,R702/O702)</x:f>
        <x:v>0.16725338763661576</x:v>
      </x:c>
      <x:c r="T702" s="25" t="str">
        <x:v>Digital Wallet</x:v>
      </x:c>
      <x:c r="U702" s="25" t="str">
        <x:v>Completed</x:v>
      </x:c>
      <x:c r="V702" s="29" t="n">
        <x:v>4</x:v>
      </x:c>
    </x:row>
    <x:row r="703">
      <x:c r="A703" s="23" t="str">
        <x:v>MAN-2025-00702</x:v>
      </x:c>
      <x:c r="B703" s="24" t="n">
        <x:v>45710</x:v>
      </x:c>
      <x:c r="C703" s="25" t="str">
        <x:v>Mansoura</x:v>
      </x:c>
      <x:c r="D703" s="25" t="str">
        <x:v>Mansoura City</x:v>
      </x:c>
      <x:c r="E703" s="25" t="str">
        <x:v>Youssef Fathy</x:v>
      </x:c>
      <x:c r="F703" s="25" t="str">
        <x:v>Hana Farouk</x:v>
      </x:c>
      <x:c r="G703" s="25" t="str">
        <x:v>Small Business</x:v>
      </x:c>
      <x:c r="H703" s="25" t="str">
        <x:v>Retail Store</x:v>
      </x:c>
      <x:c r="I703" s="25" t="str">
        <x:v>Furniture</x:v>
      </x:c>
      <x:c r="J703" s="25" t="str">
        <x:v>Bookshelf</x:v>
      </x:c>
      <x:c r="K703" s="25" t="n">
        <x:v>1</x:v>
      </x:c>
      <x:c r="L703" s="26" t="n">
        <x:v>3056</x:v>
      </x:c>
      <x:c r="M703" s="27" t="n">
        <x:v>0</x:v>
      </x:c>
      <x:c r="N703" s="26" t="n">
        <x:f>K703*L703</x:f>
        <x:v>3056</x:v>
      </x:c>
      <x:c r="O703" s="26" t="n">
        <x:f>N703*(1-M703)</x:f>
        <x:v>3056</x:v>
      </x:c>
      <x:c r="P703" s="26" t="n">
        <x:v>2200</x:v>
      </x:c>
      <x:c r="Q703" s="26" t="n">
        <x:f>K703*P703</x:f>
        <x:v>2200</x:v>
      </x:c>
      <x:c r="R703" s="26" t="n">
        <x:f>O703-Q703</x:f>
        <x:v>856</x:v>
      </x:c>
      <x:c r="S703" s="28" t="n">
        <x:f>IF(O703=0,0,R703/O703)</x:f>
        <x:v>0.2801047120418848</x:v>
      </x:c>
      <x:c r="T703" s="25" t="str">
        <x:v>Digital Wallet</x:v>
      </x:c>
      <x:c r="U703" s="25" t="str">
        <x:v>Completed</x:v>
      </x:c>
      <x:c r="V703" s="29" t="n">
        <x:v>3</x:v>
      </x:c>
    </x:row>
    <x:row r="704">
      <x:c r="A704" s="23" t="str">
        <x:v>MAN-2025-00703</x:v>
      </x:c>
      <x:c r="B704" s="24" t="n">
        <x:v>45742</x:v>
      </x:c>
      <x:c r="C704" s="25" t="str">
        <x:v>Mansoura</x:v>
      </x:c>
      <x:c r="D704" s="25" t="str">
        <x:v>Talkha</x:v>
      </x:c>
      <x:c r="E704" s="25" t="str">
        <x:v>Ali Sayed</x:v>
      </x:c>
      <x:c r="F704" s="25" t="str">
        <x:v>Youssef Samir</x:v>
      </x:c>
      <x:c r="G704" s="25" t="str">
        <x:v>Consumer</x:v>
      </x:c>
      <x:c r="H704" s="25" t="str">
        <x:v>Website</x:v>
      </x:c>
      <x:c r="I704" s="25" t="str">
        <x:v>Office Supplies</x:v>
      </x:c>
      <x:c r="J704" s="25" t="str">
        <x:v>Printer</x:v>
      </x:c>
      <x:c r="K704" s="25" t="n">
        <x:v>1</x:v>
      </x:c>
      <x:c r="L704" s="26" t="n">
        <x:v>6243</x:v>
      </x:c>
      <x:c r="M704" s="27" t="n">
        <x:v>0.05</x:v>
      </x:c>
      <x:c r="N704" s="26" t="n">
        <x:f>K704*L704</x:f>
        <x:v>6243</x:v>
      </x:c>
      <x:c r="O704" s="26" t="n">
        <x:f>N704*(1-M704)</x:f>
        <x:v>5930.849999999999</x:v>
      </x:c>
      <x:c r="P704" s="26" t="n">
        <x:v>5405</x:v>
      </x:c>
      <x:c r="Q704" s="26" t="n">
        <x:f>K704*P704</x:f>
        <x:v>5405</x:v>
      </x:c>
      <x:c r="R704" s="26" t="n">
        <x:f>O704-Q704</x:f>
        <x:v>525.8499999999995</x:v>
      </x:c>
      <x:c r="S704" s="28" t="n">
        <x:f>IF(O704=0,0,R704/O704)</x:f>
        <x:v>0.08866351366161672</x:v>
      </x:c>
      <x:c r="T704" s="25" t="str">
        <x:v>Digital Wallet</x:v>
      </x:c>
      <x:c r="U704" s="25" t="str">
        <x:v>Completed</x:v>
      </x:c>
      <x:c r="V704" s="29" t="n">
        <x:v>5</x:v>
      </x:c>
    </x:row>
    <x:row r="705">
      <x:c r="A705" s="23" t="str">
        <x:v>MAN-2025-00704</x:v>
      </x:c>
      <x:c r="B705" s="24" t="n">
        <x:v>45886</x:v>
      </x:c>
      <x:c r="C705" s="25" t="str">
        <x:v>Mansoura</x:v>
      </x:c>
      <x:c r="D705" s="25" t="str">
        <x:v>Aga</x:v>
      </x:c>
      <x:c r="E705" s="25" t="str">
        <x:v>Aya Farouk</x:v>
      </x:c>
      <x:c r="F705" s="25" t="str">
        <x:v>Youssef Farouk</x:v>
      </x:c>
      <x:c r="G705" s="25" t="str">
        <x:v>Consumer</x:v>
      </x:c>
      <x:c r="H705" s="25" t="str">
        <x:v>Retail Store</x:v>
      </x:c>
      <x:c r="I705" s="25" t="str">
        <x:v>Electronics</x:v>
      </x:c>
      <x:c r="J705" s="25" t="str">
        <x:v>Headphones</x:v>
      </x:c>
      <x:c r="K705" s="25" t="n">
        <x:v>4</x:v>
      </x:c>
      <x:c r="L705" s="26" t="n">
        <x:v>1713</x:v>
      </x:c>
      <x:c r="M705" s="27" t="n">
        <x:v>0</x:v>
      </x:c>
      <x:c r="N705" s="26" t="n">
        <x:f>K705*L705</x:f>
        <x:v>6852</x:v>
      </x:c>
      <x:c r="O705" s="26" t="n">
        <x:f>N705*(1-M705)</x:f>
        <x:v>6852</x:v>
      </x:c>
      <x:c r="P705" s="26" t="n">
        <x:v>1088</x:v>
      </x:c>
      <x:c r="Q705" s="26" t="n">
        <x:f>K705*P705</x:f>
        <x:v>4352</x:v>
      </x:c>
      <x:c r="R705" s="26" t="n">
        <x:f>O705-Q705</x:f>
        <x:v>2500</x:v>
      </x:c>
      <x:c r="S705" s="28" t="n">
        <x:f>IF(O705=0,0,R705/O705)</x:f>
        <x:v>0.36485697606538237</x:v>
      </x:c>
      <x:c r="T705" s="25" t="str">
        <x:v>Credit Card</x:v>
      </x:c>
      <x:c r="U705" s="25" t="str">
        <x:v>Completed</x:v>
      </x:c>
      <x:c r="V705" s="29" t="n">
        <x:v>4</x:v>
      </x:c>
    </x:row>
    <x:row r="706">
      <x:c r="A706" s="23" t="str">
        <x:v>MAN-2025-00705</x:v>
      </x:c>
      <x:c r="B706" s="24" t="n">
        <x:v>45735</x:v>
      </x:c>
      <x:c r="C706" s="25" t="str">
        <x:v>Mansoura</x:v>
      </x:c>
      <x:c r="D706" s="25" t="str">
        <x:v>Mit Ghamr</x:v>
      </x:c>
      <x:c r="E706" s="25" t="str">
        <x:v>Ali Sayed</x:v>
      </x:c>
      <x:c r="F706" s="25" t="str">
        <x:v>Ahmed Ibrahim</x:v>
      </x:c>
      <x:c r="G706" s="25" t="str">
        <x:v>Small Business</x:v>
      </x:c>
      <x:c r="H706" s="25" t="str">
        <x:v>Mobile App</x:v>
      </x:c>
      <x:c r="I706" s="25" t="str">
        <x:v>Electronics</x:v>
      </x:c>
      <x:c r="J706" s="25" t="str">
        <x:v>Laptop</x:v>
      </x:c>
      <x:c r="K706" s="25" t="n">
        <x:v>5</x:v>
      </x:c>
      <x:c r="L706" s="26" t="n">
        <x:v>25618</x:v>
      </x:c>
      <x:c r="M706" s="27" t="n">
        <x:v>0.05</x:v>
      </x:c>
      <x:c r="N706" s="26" t="n">
        <x:f>K706*L706</x:f>
        <x:v>128090</x:v>
      </x:c>
      <x:c r="O706" s="26" t="n">
        <x:f>N706*(1-M706)</x:f>
        <x:v>121685.5</x:v>
      </x:c>
      <x:c r="P706" s="26" t="n">
        <x:v>21614</x:v>
      </x:c>
      <x:c r="Q706" s="26" t="n">
        <x:f>K706*P706</x:f>
        <x:v>108070</x:v>
      </x:c>
      <x:c r="R706" s="26" t="n">
        <x:f>O706-Q706</x:f>
        <x:v>13615.5</x:v>
      </x:c>
      <x:c r="S706" s="28" t="n">
        <x:f>IF(O706=0,0,R706/O706)</x:f>
        <x:v>0.11189089908000542</x:v>
      </x:c>
      <x:c r="T706" s="25" t="str">
        <x:v>Cash</x:v>
      </x:c>
      <x:c r="U706" s="25" t="str">
        <x:v>Returned</x:v>
      </x:c>
      <x:c r="V706" s="29" t="n">
        <x:v>4</x:v>
      </x:c>
    </x:row>
    <x:row r="707">
      <x:c r="A707" s="23" t="str">
        <x:v>MAN-2025-00706</x:v>
      </x:c>
      <x:c r="B707" s="24" t="n">
        <x:v>45976</x:v>
      </x:c>
      <x:c r="C707" s="25" t="str">
        <x:v>Mansoura</x:v>
      </x:c>
      <x:c r="D707" s="25" t="str">
        <x:v>Sherbin</x:v>
      </x:c>
      <x:c r="E707" s="25" t="str">
        <x:v>Ali Sayed</x:v>
      </x:c>
      <x:c r="F707" s="25" t="str">
        <x:v>Hana Sayed</x:v>
      </x:c>
      <x:c r="G707" s="25" t="str">
        <x:v>Corporate</x:v>
      </x:c>
      <x:c r="H707" s="25" t="str">
        <x:v>Phone Order</x:v>
      </x:c>
      <x:c r="I707" s="25" t="str">
        <x:v>Electronics</x:v>
      </x:c>
      <x:c r="J707" s="25" t="str">
        <x:v>Headphones</x:v>
      </x:c>
      <x:c r="K707" s="25" t="n">
        <x:v>5</x:v>
      </x:c>
      <x:c r="L707" s="26" t="n">
        <x:v>1650</x:v>
      </x:c>
      <x:c r="M707" s="27" t="n">
        <x:v>0.15</x:v>
      </x:c>
      <x:c r="N707" s="26" t="n">
        <x:f>K707*L707</x:f>
        <x:v>8250</x:v>
      </x:c>
      <x:c r="O707" s="26" t="n">
        <x:f>N707*(1-M707)</x:f>
        <x:v>7012.5</x:v>
      </x:c>
      <x:c r="P707" s="26" t="n">
        <x:v>1071</x:v>
      </x:c>
      <x:c r="Q707" s="26" t="n">
        <x:f>K707*P707</x:f>
        <x:v>5355</x:v>
      </x:c>
      <x:c r="R707" s="26" t="n">
        <x:f>O707-Q707</x:f>
        <x:v>1657.5</x:v>
      </x:c>
      <x:c r="S707" s="28" t="n">
        <x:f>IF(O707=0,0,R707/O707)</x:f>
        <x:v>0.23636363636363636</x:v>
      </x:c>
      <x:c r="T707" s="25" t="str">
        <x:v>Credit Card</x:v>
      </x:c>
      <x:c r="U707" s="25" t="str">
        <x:v>Completed</x:v>
      </x:c>
      <x:c r="V707" s="29" t="n">
        <x:v>4</x:v>
      </x:c>
    </x:row>
    <x:row r="708">
      <x:c r="A708" s="23" t="str">
        <x:v>MAN-2025-00707</x:v>
      </x:c>
      <x:c r="B708" s="24" t="n">
        <x:v>45981</x:v>
      </x:c>
      <x:c r="C708" s="25" t="str">
        <x:v>Mansoura</x:v>
      </x:c>
      <x:c r="D708" s="25" t="str">
        <x:v>Mansoura City</x:v>
      </x:c>
      <x:c r="E708" s="25" t="str">
        <x:v>Aya Farouk</x:v>
      </x:c>
      <x:c r="F708" s="25" t="str">
        <x:v>Hana Farouk</x:v>
      </x:c>
      <x:c r="G708" s="25" t="str">
        <x:v>Corporate</x:v>
      </x:c>
      <x:c r="H708" s="25" t="str">
        <x:v>Retail Store</x:v>
      </x:c>
      <x:c r="I708" s="25" t="str">
        <x:v>Office Supplies</x:v>
      </x:c>
      <x:c r="J708" s="25" t="str">
        <x:v>Calculator</x:v>
      </x:c>
      <x:c r="K708" s="25" t="n">
        <x:v>4</x:v>
      </x:c>
      <x:c r="L708" s="26" t="n">
        <x:v>442</x:v>
      </x:c>
      <x:c r="M708" s="27" t="n">
        <x:v>0.05</x:v>
      </x:c>
      <x:c r="N708" s="26" t="n">
        <x:f>K708*L708</x:f>
        <x:v>1768</x:v>
      </x:c>
      <x:c r="O708" s="26" t="n">
        <x:f>N708*(1-M708)</x:f>
        <x:v>1679.6</x:v>
      </x:c>
      <x:c r="P708" s="26" t="n">
        <x:v>277</x:v>
      </x:c>
      <x:c r="Q708" s="26" t="n">
        <x:f>K708*P708</x:f>
        <x:v>1108</x:v>
      </x:c>
      <x:c r="R708" s="26" t="n">
        <x:f>O708-Q708</x:f>
        <x:v>571.5999999999999</x:v>
      </x:c>
      <x:c r="S708" s="28" t="n">
        <x:f>IF(O708=0,0,R708/O708)</x:f>
        <x:v>0.3403191236008573</x:v>
      </x:c>
      <x:c r="T708" s="25" t="str">
        <x:v>Bank Transfer</x:v>
      </x:c>
      <x:c r="U708" s="25" t="str">
        <x:v>Completed</x:v>
      </x:c>
      <x:c r="V708" s="29" t="n">
        <x:v>3</x:v>
      </x:c>
    </x:row>
    <x:row r="709">
      <x:c r="A709" s="23" t="str">
        <x:v>MAN-2025-00708</x:v>
      </x:c>
      <x:c r="B709" s="24" t="n">
        <x:v>45922</x:v>
      </x:c>
      <x:c r="C709" s="25" t="str">
        <x:v>Mansoura</x:v>
      </x:c>
      <x:c r="D709" s="25" t="str">
        <x:v>Mit Ghamr</x:v>
      </x:c>
      <x:c r="E709" s="25" t="str">
        <x:v>Ali Sayed</x:v>
      </x:c>
      <x:c r="F709" s="25" t="str">
        <x:v>Farah Tarek</x:v>
      </x:c>
      <x:c r="G709" s="25" t="str">
        <x:v>Consumer</x:v>
      </x:c>
      <x:c r="H709" s="25" t="str">
        <x:v>Retail Store</x:v>
      </x:c>
      <x:c r="I709" s="25" t="str">
        <x:v>Office Supplies</x:v>
      </x:c>
      <x:c r="J709" s="25" t="str">
        <x:v>Paper Box</x:v>
      </x:c>
      <x:c r="K709" s="25" t="n">
        <x:v>3</x:v>
      </x:c>
      <x:c r="L709" s="26" t="n">
        <x:v>387</x:v>
      </x:c>
      <x:c r="M709" s="27" t="n">
        <x:v>0</x:v>
      </x:c>
      <x:c r="N709" s="26" t="n">
        <x:f>K709*L709</x:f>
        <x:v>1161</x:v>
      </x:c>
      <x:c r="O709" s="26" t="n">
        <x:f>N709*(1-M709)</x:f>
        <x:v>1161</x:v>
      </x:c>
      <x:c r="P709" s="26" t="n">
        <x:v>257</x:v>
      </x:c>
      <x:c r="Q709" s="26" t="n">
        <x:f>K709*P709</x:f>
        <x:v>771</x:v>
      </x:c>
      <x:c r="R709" s="26" t="n">
        <x:f>O709-Q709</x:f>
        <x:v>390</x:v>
      </x:c>
      <x:c r="S709" s="28" t="n">
        <x:f>IF(O709=0,0,R709/O709)</x:f>
        <x:v>0.3359173126614987</x:v>
      </x:c>
      <x:c r="T709" s="25" t="str">
        <x:v>Bank Transfer</x:v>
      </x:c>
      <x:c r="U709" s="25" t="str">
        <x:v>Completed</x:v>
      </x:c>
      <x:c r="V709" s="29" t="n">
        <x:v>5</x:v>
      </x:c>
    </x:row>
    <x:row r="710">
      <x:c r="A710" s="23" t="str">
        <x:v>MAN-2025-00709</x:v>
      </x:c>
      <x:c r="B710" s="24" t="n">
        <x:v>45908</x:v>
      </x:c>
      <x:c r="C710" s="25" t="str">
        <x:v>Mansoura</x:v>
      </x:c>
      <x:c r="D710" s="25" t="str">
        <x:v>Sherbin</x:v>
      </x:c>
      <x:c r="E710" s="25" t="str">
        <x:v>Youssef Fathy</x:v>
      </x:c>
      <x:c r="F710" s="25" t="str">
        <x:v>Salma Nasser</x:v>
      </x:c>
      <x:c r="G710" s="25" t="str">
        <x:v>Small Business</x:v>
      </x:c>
      <x:c r="H710" s="25" t="str">
        <x:v>Retail Store</x:v>
      </x:c>
      <x:c r="I710" s="25" t="str">
        <x:v>Office Supplies</x:v>
      </x:c>
      <x:c r="J710" s="25" t="str">
        <x:v>Calculator</x:v>
      </x:c>
      <x:c r="K710" s="25" t="n">
        <x:v>5</x:v>
      </x:c>
      <x:c r="L710" s="26" t="n">
        <x:v>413</x:v>
      </x:c>
      <x:c r="M710" s="27" t="n">
        <x:v>0</x:v>
      </x:c>
      <x:c r="N710" s="26" t="n">
        <x:f>K710*L710</x:f>
        <x:v>2065</x:v>
      </x:c>
      <x:c r="O710" s="26" t="n">
        <x:f>N710*(1-M710)</x:f>
        <x:v>2065</x:v>
      </x:c>
      <x:c r="P710" s="26" t="n">
        <x:v>289</x:v>
      </x:c>
      <x:c r="Q710" s="26" t="n">
        <x:f>K710*P710</x:f>
        <x:v>1445</x:v>
      </x:c>
      <x:c r="R710" s="26" t="n">
        <x:f>O710-Q710</x:f>
        <x:v>620</x:v>
      </x:c>
      <x:c r="S710" s="28" t="n">
        <x:f>IF(O710=0,0,R710/O710)</x:f>
        <x:v>0.30024213075060535</x:v>
      </x:c>
      <x:c r="T710" s="25" t="str">
        <x:v>Credit Card</x:v>
      </x:c>
      <x:c r="U710" s="25" t="str">
        <x:v>Completed</x:v>
      </x:c>
      <x:c r="V710" s="29" t="n">
        <x:v>3</x:v>
      </x:c>
    </x:row>
    <x:row r="711">
      <x:c r="A711" s="23" t="str">
        <x:v>MAN-2025-00710</x:v>
      </x:c>
      <x:c r="B711" s="24" t="n">
        <x:v>45749</x:v>
      </x:c>
      <x:c r="C711" s="25" t="str">
        <x:v>Mansoura</x:v>
      </x:c>
      <x:c r="D711" s="25" t="str">
        <x:v>Sherbin</x:v>
      </x:c>
      <x:c r="E711" s="25" t="str">
        <x:v>Salma Mansour</x:v>
      </x:c>
      <x:c r="F711" s="25" t="str">
        <x:v>Salma Sayed</x:v>
      </x:c>
      <x:c r="G711" s="25" t="str">
        <x:v>Corporate</x:v>
      </x:c>
      <x:c r="H711" s="25" t="str">
        <x:v>Website</x:v>
      </x:c>
      <x:c r="I711" s="25" t="str">
        <x:v>Electronics</x:v>
      </x:c>
      <x:c r="J711" s="25" t="str">
        <x:v>Tablet</x:v>
      </x:c>
      <x:c r="K711" s="25" t="n">
        <x:v>5</x:v>
      </x:c>
      <x:c r="L711" s="26" t="n">
        <x:v>9261</x:v>
      </x:c>
      <x:c r="M711" s="27" t="n">
        <x:v>0.1</x:v>
      </x:c>
      <x:c r="N711" s="26" t="n">
        <x:f>K711*L711</x:f>
        <x:v>46305</x:v>
      </x:c>
      <x:c r="O711" s="26" t="n">
        <x:f>N711*(1-M711)</x:f>
        <x:v>41674.5</x:v>
      </x:c>
      <x:c r="P711" s="26" t="n">
        <x:v>7292</x:v>
      </x:c>
      <x:c r="Q711" s="26" t="n">
        <x:f>K711*P711</x:f>
        <x:v>36460</x:v>
      </x:c>
      <x:c r="R711" s="26" t="n">
        <x:f>O711-Q711</x:f>
        <x:v>5214.5</x:v>
      </x:c>
      <x:c r="S711" s="28" t="n">
        <x:f>IF(O711=0,0,R711/O711)</x:f>
        <x:v>0.1251244765983995</x:v>
      </x:c>
      <x:c r="T711" s="25" t="str">
        <x:v>Credit Card</x:v>
      </x:c>
      <x:c r="U711" s="25" t="str">
        <x:v>Completed</x:v>
      </x:c>
      <x:c r="V711" s="29" t="n">
        <x:v>3</x:v>
      </x:c>
    </x:row>
    <x:row r="712">
      <x:c r="A712" s="23" t="str">
        <x:v>MAN-2025-00711</x:v>
      </x:c>
      <x:c r="B712" s="24" t="n">
        <x:v>45812</x:v>
      </x:c>
      <x:c r="C712" s="25" t="str">
        <x:v>Mansoura</x:v>
      </x:c>
      <x:c r="D712" s="25" t="str">
        <x:v>Sherbin</x:v>
      </x:c>
      <x:c r="E712" s="25" t="str">
        <x:v>Salma Mansour</x:v>
      </x:c>
      <x:c r="F712" s="25" t="str">
        <x:v>Aya Nasser</x:v>
      </x:c>
      <x:c r="G712" s="25" t="str">
        <x:v>Consumer</x:v>
      </x:c>
      <x:c r="H712" s="25" t="str">
        <x:v>Mobile App</x:v>
      </x:c>
      <x:c r="I712" s="25" t="str">
        <x:v>Office Supplies</x:v>
      </x:c>
      <x:c r="J712" s="25" t="str">
        <x:v>Calculator</x:v>
      </x:c>
      <x:c r="K712" s="25" t="n">
        <x:v>5</x:v>
      </x:c>
      <x:c r="L712" s="26" t="n">
        <x:v>440</x:v>
      </x:c>
      <x:c r="M712" s="27" t="n">
        <x:v>0.05</x:v>
      </x:c>
      <x:c r="N712" s="26" t="n">
        <x:f>K712*L712</x:f>
        <x:v>2200</x:v>
      </x:c>
      <x:c r="O712" s="26" t="n">
        <x:f>N712*(1-M712)</x:f>
        <x:v>2090</x:v>
      </x:c>
      <x:c r="P712" s="26" t="n">
        <x:v>282</x:v>
      </x:c>
      <x:c r="Q712" s="26" t="n">
        <x:f>K712*P712</x:f>
        <x:v>1410</x:v>
      </x:c>
      <x:c r="R712" s="26" t="n">
        <x:f>O712-Q712</x:f>
        <x:v>680</x:v>
      </x:c>
      <x:c r="S712" s="28" t="n">
        <x:f>IF(O712=0,0,R712/O712)</x:f>
        <x:v>0.3253588516746411</x:v>
      </x:c>
      <x:c r="T712" s="25" t="str">
        <x:v>Debit Card</x:v>
      </x:c>
      <x:c r="U712" s="25" t="str">
        <x:v>Completed</x:v>
      </x:c>
      <x:c r="V712" s="29" t="n">
        <x:v>4</x:v>
      </x:c>
    </x:row>
    <x:row r="713">
      <x:c r="A713" s="23" t="str">
        <x:v>MAN-2025-00712</x:v>
      </x:c>
      <x:c r="B713" s="24" t="n">
        <x:v>45728</x:v>
      </x:c>
      <x:c r="C713" s="25" t="str">
        <x:v>Mansoura</x:v>
      </x:c>
      <x:c r="D713" s="25" t="str">
        <x:v>Mit Ghamr</x:v>
      </x:c>
      <x:c r="E713" s="25" t="str">
        <x:v>Youssef Fathy</x:v>
      </x:c>
      <x:c r="F713" s="25" t="str">
        <x:v>Mahmoud Nasser</x:v>
      </x:c>
      <x:c r="G713" s="25" t="str">
        <x:v>Consumer</x:v>
      </x:c>
      <x:c r="H713" s="25" t="str">
        <x:v>Retail Store</x:v>
      </x:c>
      <x:c r="I713" s="25" t="str">
        <x:v>Office Supplies</x:v>
      </x:c>
      <x:c r="J713" s="25" t="str">
        <x:v>Printer</x:v>
      </x:c>
      <x:c r="K713" s="25" t="n">
        <x:v>1</x:v>
      </x:c>
      <x:c r="L713" s="26" t="n">
        <x:v>6232</x:v>
      </x:c>
      <x:c r="M713" s="27" t="n">
        <x:v>0.05</x:v>
      </x:c>
      <x:c r="N713" s="26" t="n">
        <x:f>K713*L713</x:f>
        <x:v>6232</x:v>
      </x:c>
      <x:c r="O713" s="26" t="n">
        <x:f>N713*(1-M713)</x:f>
        <x:v>5920.4</x:v>
      </x:c>
      <x:c r="P713" s="26" t="n">
        <x:v>5331</x:v>
      </x:c>
      <x:c r="Q713" s="26" t="n">
        <x:f>K713*P713</x:f>
        <x:v>5331</x:v>
      </x:c>
      <x:c r="R713" s="26" t="n">
        <x:f>O713-Q713</x:f>
        <x:v>589.3999999999996</x:v>
      </x:c>
      <x:c r="S713" s="28" t="n">
        <x:f>IF(O713=0,0,R713/O713)</x:f>
        <x:v>0.09955408418350106</x:v>
      </x:c>
      <x:c r="T713" s="25" t="str">
        <x:v>Digital Wallet</x:v>
      </x:c>
      <x:c r="U713" s="25" t="str">
        <x:v>Completed</x:v>
      </x:c>
      <x:c r="V713" s="29" t="n">
        <x:v>4</x:v>
      </x:c>
    </x:row>
    <x:row r="714">
      <x:c r="A714" s="23" t="str">
        <x:v>MAN-2025-00713</x:v>
      </x:c>
      <x:c r="B714" s="24" t="n">
        <x:v>45944</x:v>
      </x:c>
      <x:c r="C714" s="25" t="str">
        <x:v>Mansoura</x:v>
      </x:c>
      <x:c r="D714" s="25" t="str">
        <x:v>Mit Ghamr</x:v>
      </x:c>
      <x:c r="E714" s="25" t="str">
        <x:v>Salma Mansour</x:v>
      </x:c>
      <x:c r="F714" s="25" t="str">
        <x:v>Farah Hassan</x:v>
      </x:c>
      <x:c r="G714" s="25" t="str">
        <x:v>Corporate</x:v>
      </x:c>
      <x:c r="H714" s="25" t="str">
        <x:v>Retail Store</x:v>
      </x:c>
      <x:c r="I714" s="25" t="str">
        <x:v>Home Appliances</x:v>
      </x:c>
      <x:c r="J714" s="25" t="str">
        <x:v>Air Conditioner</x:v>
      </x:c>
      <x:c r="K714" s="25" t="n">
        <x:v>1</x:v>
      </x:c>
      <x:c r="L714" s="26" t="n">
        <x:v>21522</x:v>
      </x:c>
      <x:c r="M714" s="27" t="n">
        <x:v>0.1</x:v>
      </x:c>
      <x:c r="N714" s="26" t="n">
        <x:f>K714*L714</x:f>
        <x:v>21522</x:v>
      </x:c>
      <x:c r="O714" s="26" t="n">
        <x:f>N714*(1-M714)</x:f>
        <x:v>19369.8</x:v>
      </x:c>
      <x:c r="P714" s="26" t="n">
        <x:v>17714</x:v>
      </x:c>
      <x:c r="Q714" s="26" t="n">
        <x:f>K714*P714</x:f>
        <x:v>17714</x:v>
      </x:c>
      <x:c r="R714" s="26" t="n">
        <x:f>O714-Q714</x:f>
        <x:v>1655.7999999999993</x:v>
      </x:c>
      <x:c r="S714" s="28" t="n">
        <x:f>IF(O714=0,0,R714/O714)</x:f>
        <x:v>0.08548358785325606</x:v>
      </x:c>
      <x:c r="T714" s="25" t="str">
        <x:v>Digital Wallet</x:v>
      </x:c>
      <x:c r="U714" s="25" t="str">
        <x:v>Completed</x:v>
      </x:c>
      <x:c r="V714" s="29" t="n">
        <x:v>4</x:v>
      </x:c>
    </x:row>
    <x:row r="715">
      <x:c r="A715" s="23" t="str">
        <x:v>MAN-2025-00714</x:v>
      </x:c>
      <x:c r="B715" s="24" t="n">
        <x:v>45733</x:v>
      </x:c>
      <x:c r="C715" s="25" t="str">
        <x:v>Mansoura</x:v>
      </x:c>
      <x:c r="D715" s="25" t="str">
        <x:v>Mit Ghamr</x:v>
      </x:c>
      <x:c r="E715" s="25" t="str">
        <x:v>Salma Mansour</x:v>
      </x:c>
      <x:c r="F715" s="25" t="str">
        <x:v>Ali Gamal</x:v>
      </x:c>
      <x:c r="G715" s="25" t="str">
        <x:v>Small Business</x:v>
      </x:c>
      <x:c r="H715" s="25" t="str">
        <x:v>Retail Store</x:v>
      </x:c>
      <x:c r="I715" s="25" t="str">
        <x:v>Office Supplies</x:v>
      </x:c>
      <x:c r="J715" s="25" t="str">
        <x:v>Printer</x:v>
      </x:c>
      <x:c r="K715" s="25" t="n">
        <x:v>5</x:v>
      </x:c>
      <x:c r="L715" s="26" t="n">
        <x:v>6739</x:v>
      </x:c>
      <x:c r="M715" s="27" t="n">
        <x:v>0.15</x:v>
      </x:c>
      <x:c r="N715" s="26" t="n">
        <x:f>K715*L715</x:f>
        <x:v>33695</x:v>
      </x:c>
      <x:c r="O715" s="26" t="n">
        <x:f>N715*(1-M715)</x:f>
        <x:v>28640.75</x:v>
      </x:c>
      <x:c r="P715" s="26" t="n">
        <x:v>5296</x:v>
      </x:c>
      <x:c r="Q715" s="26" t="n">
        <x:f>K715*P715</x:f>
        <x:v>26480</x:v>
      </x:c>
      <x:c r="R715" s="26" t="n">
        <x:f>O715-Q715</x:f>
        <x:v>2160.75</x:v>
      </x:c>
      <x:c r="S715" s="28" t="n">
        <x:f>IF(O715=0,0,R715/O715)</x:f>
        <x:v>0.07544320592163264</x:v>
      </x:c>
      <x:c r="T715" s="25" t="str">
        <x:v>Digital Wallet</x:v>
      </x:c>
      <x:c r="U715" s="25" t="str">
        <x:v>Completed</x:v>
      </x:c>
      <x:c r="V715" s="29" t="n">
        <x:v>3</x:v>
      </x:c>
    </x:row>
    <x:row r="716">
      <x:c r="A716" s="23" t="str">
        <x:v>MAN-2025-00715</x:v>
      </x:c>
      <x:c r="B716" s="24" t="n">
        <x:v>45754</x:v>
      </x:c>
      <x:c r="C716" s="25" t="str">
        <x:v>Mansoura</x:v>
      </x:c>
      <x:c r="D716" s="25" t="str">
        <x:v>Aga</x:v>
      </x:c>
      <x:c r="E716" s="25" t="str">
        <x:v>Ali Sayed</x:v>
      </x:c>
      <x:c r="F716" s="25" t="str">
        <x:v>Mostafa Sayed</x:v>
      </x:c>
      <x:c r="G716" s="25" t="str">
        <x:v>Small Business</x:v>
      </x:c>
      <x:c r="H716" s="25" t="str">
        <x:v>Website</x:v>
      </x:c>
      <x:c r="I716" s="25" t="str">
        <x:v>Furniture</x:v>
      </x:c>
      <x:c r="J716" s="25" t="str">
        <x:v>Bookshelf</x:v>
      </x:c>
      <x:c r="K716" s="25" t="n">
        <x:v>2</x:v>
      </x:c>
      <x:c r="L716" s="26" t="n">
        <x:v>2835</x:v>
      </x:c>
      <x:c r="M716" s="27" t="n">
        <x:v>0</x:v>
      </x:c>
      <x:c r="N716" s="26" t="n">
        <x:f>K716*L716</x:f>
        <x:v>5670</x:v>
      </x:c>
      <x:c r="O716" s="26" t="n">
        <x:f>N716*(1-M716)</x:f>
        <x:v>5670</x:v>
      </x:c>
      <x:c r="P716" s="26" t="n">
        <x:v>2264</x:v>
      </x:c>
      <x:c r="Q716" s="26" t="n">
        <x:f>K716*P716</x:f>
        <x:v>4528</x:v>
      </x:c>
      <x:c r="R716" s="26" t="n">
        <x:f>O716-Q716</x:f>
        <x:v>1142</x:v>
      </x:c>
      <x:c r="S716" s="28" t="n">
        <x:f>IF(O716=0,0,R716/O716)</x:f>
        <x:v>0.20141093474426808</x:v>
      </x:c>
      <x:c r="T716" s="25" t="str">
        <x:v>Digital Wallet</x:v>
      </x:c>
      <x:c r="U716" s="25" t="str">
        <x:v>Completed</x:v>
      </x:c>
      <x:c r="V716" s="29" t="n">
        <x:v>4</x:v>
      </x:c>
    </x:row>
    <x:row r="717">
      <x:c r="A717" s="23" t="str">
        <x:v>MAN-2025-00716</x:v>
      </x:c>
      <x:c r="B717" s="24" t="n">
        <x:v>46001</x:v>
      </x:c>
      <x:c r="C717" s="25" t="str">
        <x:v>Mansoura</x:v>
      </x:c>
      <x:c r="D717" s="25" t="str">
        <x:v>Talkha</x:v>
      </x:c>
      <x:c r="E717" s="25" t="str">
        <x:v>Ali Sayed</x:v>
      </x:c>
      <x:c r="F717" s="25" t="str">
        <x:v>Sara Gamal</x:v>
      </x:c>
      <x:c r="G717" s="25" t="str">
        <x:v>Small Business</x:v>
      </x:c>
      <x:c r="H717" s="25" t="str">
        <x:v>Phone Order</x:v>
      </x:c>
      <x:c r="I717" s="25" t="str">
        <x:v>Home Appliances</x:v>
      </x:c>
      <x:c r="J717" s="25" t="str">
        <x:v>Microwave</x:v>
      </x:c>
      <x:c r="K717" s="25" t="n">
        <x:v>6</x:v>
      </x:c>
      <x:c r="L717" s="26" t="n">
        <x:v>5597</x:v>
      </x:c>
      <x:c r="M717" s="27" t="n">
        <x:v>0.05</x:v>
      </x:c>
      <x:c r="N717" s="26" t="n">
        <x:f>K717*L717</x:f>
        <x:v>33582</x:v>
      </x:c>
      <x:c r="O717" s="26" t="n">
        <x:f>N717*(1-M717)</x:f>
        <x:v>31902.899999999998</x:v>
      </x:c>
      <x:c r="P717" s="26" t="n">
        <x:v>4273</x:v>
      </x:c>
      <x:c r="Q717" s="26" t="n">
        <x:f>K717*P717</x:f>
        <x:v>25638</x:v>
      </x:c>
      <x:c r="R717" s="26" t="n">
        <x:f>O717-Q717</x:f>
        <x:v>6264.899999999998</x:v>
      </x:c>
      <x:c r="S717" s="28" t="n">
        <x:f>IF(O717=0,0,R717/O717)</x:f>
        <x:v>0.1963739973482034</x:v>
      </x:c>
      <x:c r="T717" s="25" t="str">
        <x:v>Debit Card</x:v>
      </x:c>
      <x:c r="U717" s="25" t="str">
        <x:v>Completed</x:v>
      </x:c>
      <x:c r="V717" s="29" t="n">
        <x:v>4</x:v>
      </x:c>
    </x:row>
    <x:row r="718">
      <x:c r="A718" s="23" t="str">
        <x:v>MAN-2025-00717</x:v>
      </x:c>
      <x:c r="B718" s="24" t="n">
        <x:v>45910</x:v>
      </x:c>
      <x:c r="C718" s="25" t="str">
        <x:v>Mansoura</x:v>
      </x:c>
      <x:c r="D718" s="25" t="str">
        <x:v>Aga</x:v>
      </x:c>
      <x:c r="E718" s="25" t="str">
        <x:v>Ali Sayed</x:v>
      </x:c>
      <x:c r="F718" s="25" t="str">
        <x:v>Karim Farouk</x:v>
      </x:c>
      <x:c r="G718" s="25" t="str">
        <x:v>Consumer</x:v>
      </x:c>
      <x:c r="H718" s="25" t="str">
        <x:v>Mobile App</x:v>
      </x:c>
      <x:c r="I718" s="25" t="str">
        <x:v>Electronics</x:v>
      </x:c>
      <x:c r="J718" s="25" t="str">
        <x:v>Headphones</x:v>
      </x:c>
      <x:c r="K718" s="25" t="n">
        <x:v>4</x:v>
      </x:c>
      <x:c r="L718" s="26" t="n">
        <x:v>1632</x:v>
      </x:c>
      <x:c r="M718" s="27" t="n">
        <x:v>0.05</x:v>
      </x:c>
      <x:c r="N718" s="26" t="n">
        <x:f>K718*L718</x:f>
        <x:v>6528</x:v>
      </x:c>
      <x:c r="O718" s="26" t="n">
        <x:f>N718*(1-M718)</x:f>
        <x:v>6201.599999999999</x:v>
      </x:c>
      <x:c r="P718" s="26" t="n">
        <x:v>1076</x:v>
      </x:c>
      <x:c r="Q718" s="26" t="n">
        <x:f>K718*P718</x:f>
        <x:v>4304</x:v>
      </x:c>
      <x:c r="R718" s="26" t="n">
        <x:f>O718-Q718</x:f>
        <x:v>1897.5999999999995</x:v>
      </x:c>
      <x:c r="S718" s="28" t="n">
        <x:f>IF(O718=0,0,R718/O718)</x:f>
        <x:v>0.30598555211558304</x:v>
      </x:c>
      <x:c r="T718" s="25" t="str">
        <x:v>Cash</x:v>
      </x:c>
      <x:c r="U718" s="25" t="str">
        <x:v>Completed</x:v>
      </x:c>
      <x:c r="V718" s="29" t="n">
        <x:v>3</x:v>
      </x:c>
    </x:row>
    <x:row r="719">
      <x:c r="A719" s="23" t="str">
        <x:v>MAN-2025-00718</x:v>
      </x:c>
      <x:c r="B719" s="24" t="n">
        <x:v>45816</x:v>
      </x:c>
      <x:c r="C719" s="25" t="str">
        <x:v>Mansoura</x:v>
      </x:c>
      <x:c r="D719" s="25" t="str">
        <x:v>Sherbin</x:v>
      </x:c>
      <x:c r="E719" s="25" t="str">
        <x:v>Ali Sayed</x:v>
      </x:c>
      <x:c r="F719" s="25" t="str">
        <x:v>Farah Hassan</x:v>
      </x:c>
      <x:c r="G719" s="25" t="str">
        <x:v>Corporate</x:v>
      </x:c>
      <x:c r="H719" s="25" t="str">
        <x:v>Phone Order</x:v>
      </x:c>
      <x:c r="I719" s="25" t="str">
        <x:v>Home Appliances</x:v>
      </x:c>
      <x:c r="J719" s="25" t="str">
        <x:v>Air Conditioner</x:v>
      </x:c>
      <x:c r="K719" s="25" t="n">
        <x:v>2</x:v>
      </x:c>
      <x:c r="L719" s="26" t="n">
        <x:v>19696</x:v>
      </x:c>
      <x:c r="M719" s="27" t="n">
        <x:v>0.05</x:v>
      </x:c>
      <x:c r="N719" s="26" t="n">
        <x:f>K719*L719</x:f>
        <x:v>39392</x:v>
      </x:c>
      <x:c r="O719" s="26" t="n">
        <x:f>N719*(1-M719)</x:f>
        <x:v>37422.4</x:v>
      </x:c>
      <x:c r="P719" s="26" t="n">
        <x:v>17899</x:v>
      </x:c>
      <x:c r="Q719" s="26" t="n">
        <x:f>K719*P719</x:f>
        <x:v>35798</x:v>
      </x:c>
      <x:c r="R719" s="26" t="n">
        <x:f>O719-Q719</x:f>
        <x:v>1624.4000000000015</x:v>
      </x:c>
      <x:c r="S719" s="28" t="n">
        <x:f>IF(O719=0,0,R719/O719)</x:f>
        <x:v>0.04340715721065462</x:v>
      </x:c>
      <x:c r="T719" s="25" t="str">
        <x:v>Debit Card</x:v>
      </x:c>
      <x:c r="U719" s="25" t="str">
        <x:v>Completed</x:v>
      </x:c>
      <x:c r="V719" s="29" t="n">
        <x:v>5</x:v>
      </x:c>
    </x:row>
    <x:row r="720">
      <x:c r="A720" s="23" t="str">
        <x:v>MAN-2025-00719</x:v>
      </x:c>
      <x:c r="B720" s="24" t="n">
        <x:v>45976</x:v>
      </x:c>
      <x:c r="C720" s="25" t="str">
        <x:v>Mansoura</x:v>
      </x:c>
      <x:c r="D720" s="25" t="str">
        <x:v>Talkha</x:v>
      </x:c>
      <x:c r="E720" s="25" t="str">
        <x:v>Aya Farouk</x:v>
      </x:c>
      <x:c r="F720" s="25" t="str">
        <x:v>Salma Khalil</x:v>
      </x:c>
      <x:c r="G720" s="25" t="str">
        <x:v>Corporate</x:v>
      </x:c>
      <x:c r="H720" s="25" t="str">
        <x:v>Website</x:v>
      </x:c>
      <x:c r="I720" s="25" t="str">
        <x:v>Electronics</x:v>
      </x:c>
      <x:c r="J720" s="25" t="str">
        <x:v>Tablet</x:v>
      </x:c>
      <x:c r="K720" s="25" t="n">
        <x:v>3</x:v>
      </x:c>
      <x:c r="L720" s="26" t="n">
        <x:v>9309</x:v>
      </x:c>
      <x:c r="M720" s="27" t="n">
        <x:v>0</x:v>
      </x:c>
      <x:c r="N720" s="26" t="n">
        <x:f>K720*L720</x:f>
        <x:v>27927</x:v>
      </x:c>
      <x:c r="O720" s="26" t="n">
        <x:f>N720*(1-M720)</x:f>
        <x:v>27927</x:v>
      </x:c>
      <x:c r="P720" s="26" t="n">
        <x:v>7210</x:v>
      </x:c>
      <x:c r="Q720" s="26" t="n">
        <x:f>K720*P720</x:f>
        <x:v>21630</x:v>
      </x:c>
      <x:c r="R720" s="26" t="n">
        <x:f>O720-Q720</x:f>
        <x:v>6297</x:v>
      </x:c>
      <x:c r="S720" s="28" t="n">
        <x:f>IF(O720=0,0,R720/O720)</x:f>
        <x:v>0.22548071758513266</x:v>
      </x:c>
      <x:c r="T720" s="25" t="str">
        <x:v>Debit Card</x:v>
      </x:c>
      <x:c r="U720" s="25" t="str">
        <x:v>Completed</x:v>
      </x:c>
      <x:c r="V720" s="29" t="n">
        <x:v>5</x:v>
      </x:c>
    </x:row>
    <x:row r="721">
      <x:c r="A721" s="23" t="str">
        <x:v>MAN-2025-00720</x:v>
      </x:c>
      <x:c r="B721" s="24" t="n">
        <x:v>45750</x:v>
      </x:c>
      <x:c r="C721" s="25" t="str">
        <x:v>Mansoura</x:v>
      </x:c>
      <x:c r="D721" s="25" t="str">
        <x:v>Aga</x:v>
      </x:c>
      <x:c r="E721" s="25" t="str">
        <x:v>Youssef Fathy</x:v>
      </x:c>
      <x:c r="F721" s="25" t="str">
        <x:v>Mohamed Adel</x:v>
      </x:c>
      <x:c r="G721" s="25" t="str">
        <x:v>Consumer</x:v>
      </x:c>
      <x:c r="H721" s="25" t="str">
        <x:v>Retail Store</x:v>
      </x:c>
      <x:c r="I721" s="25" t="str">
        <x:v>Furniture</x:v>
      </x:c>
      <x:c r="J721" s="25" t="str">
        <x:v>Desk</x:v>
      </x:c>
      <x:c r="K721" s="25" t="n">
        <x:v>1</x:v>
      </x:c>
      <x:c r="L721" s="26" t="n">
        <x:v>4902</x:v>
      </x:c>
      <x:c r="M721" s="27" t="n">
        <x:v>0.1</x:v>
      </x:c>
      <x:c r="N721" s="26" t="n">
        <x:f>K721*L721</x:f>
        <x:v>4902</x:v>
      </x:c>
      <x:c r="O721" s="26" t="n">
        <x:f>N721*(1-M721)</x:f>
        <x:v>4411.8</x:v>
      </x:c>
      <x:c r="P721" s="26" t="n">
        <x:v>3794</x:v>
      </x:c>
      <x:c r="Q721" s="26" t="n">
        <x:f>K721*P721</x:f>
        <x:v>3794</x:v>
      </x:c>
      <x:c r="R721" s="26" t="n">
        <x:f>O721-Q721</x:f>
        <x:v>617.8000000000002</x:v>
      </x:c>
      <x:c r="S721" s="28" t="n">
        <x:f>IF(O721=0,0,R721/O721)</x:f>
        <x:v>0.14003354639829552</x:v>
      </x:c>
      <x:c r="T721" s="25" t="str">
        <x:v>Cash</x:v>
      </x:c>
      <x:c r="U721" s="25" t="str">
        <x:v>Completed</x:v>
      </x:c>
      <x:c r="V721" s="29" t="n">
        <x:v>4</x:v>
      </x:c>
    </x:row>
    <x:row r="722">
      <x:c r="A722" s="23" t="str">
        <x:v>MAN-2025-00721</x:v>
      </x:c>
      <x:c r="B722" s="24" t="n">
        <x:v>45785</x:v>
      </x:c>
      <x:c r="C722" s="25" t="str">
        <x:v>Mansoura</x:v>
      </x:c>
      <x:c r="D722" s="25" t="str">
        <x:v>Talkha</x:v>
      </x:c>
      <x:c r="E722" s="25" t="str">
        <x:v>Ali Sayed</x:v>
      </x:c>
      <x:c r="F722" s="25" t="str">
        <x:v>Aya Mansour</x:v>
      </x:c>
      <x:c r="G722" s="25" t="str">
        <x:v>Consumer</x:v>
      </x:c>
      <x:c r="H722" s="25" t="str">
        <x:v>Retail Store</x:v>
      </x:c>
      <x:c r="I722" s="25" t="str">
        <x:v>Furniture</x:v>
      </x:c>
      <x:c r="J722" s="25" t="str">
        <x:v>Desk</x:v>
      </x:c>
      <x:c r="K722" s="25" t="n">
        <x:v>2</x:v>
      </x:c>
      <x:c r="L722" s="26" t="n">
        <x:v>4838</x:v>
      </x:c>
      <x:c r="M722" s="27" t="n">
        <x:v>0.15</x:v>
      </x:c>
      <x:c r="N722" s="26" t="n">
        <x:f>K722*L722</x:f>
        <x:v>9676</x:v>
      </x:c>
      <x:c r="O722" s="26" t="n">
        <x:f>N722*(1-M722)</x:f>
        <x:v>8224.6</x:v>
      </x:c>
      <x:c r="P722" s="26" t="n">
        <x:v>3833</x:v>
      </x:c>
      <x:c r="Q722" s="26" t="n">
        <x:f>K722*P722</x:f>
        <x:v>7666</x:v>
      </x:c>
      <x:c r="R722" s="26" t="n">
        <x:f>O722-Q722</x:f>
        <x:v>558.6000000000004</x:v>
      </x:c>
      <x:c r="S722" s="28" t="n">
        <x:f>IF(O722=0,0,R722/O722)</x:f>
        <x:v>0.06791819662962337</x:v>
      </x:c>
      <x:c r="T722" s="25" t="str">
        <x:v>Debit Card</x:v>
      </x:c>
      <x:c r="U722" s="25" t="str">
        <x:v>Completed</x:v>
      </x:c>
      <x:c r="V722" s="29" t="n">
        <x:v>4</x:v>
      </x:c>
    </x:row>
    <x:row r="723">
      <x:c r="A723" s="23" t="str">
        <x:v>MAN-2025-00722</x:v>
      </x:c>
      <x:c r="B723" s="24" t="n">
        <x:v>45814</x:v>
      </x:c>
      <x:c r="C723" s="25" t="str">
        <x:v>Mansoura</x:v>
      </x:c>
      <x:c r="D723" s="25" t="str">
        <x:v>Sherbin</x:v>
      </x:c>
      <x:c r="E723" s="25" t="str">
        <x:v>Youssef Fathy</x:v>
      </x:c>
      <x:c r="F723" s="25" t="str">
        <x:v>Ali Ibrahim</x:v>
      </x:c>
      <x:c r="G723" s="25" t="str">
        <x:v>Small Business</x:v>
      </x:c>
      <x:c r="H723" s="25" t="str">
        <x:v>Retail Store</x:v>
      </x:c>
      <x:c r="I723" s="25" t="str">
        <x:v>Office Supplies</x:v>
      </x:c>
      <x:c r="J723" s="25" t="str">
        <x:v>Calculator</x:v>
      </x:c>
      <x:c r="K723" s="25" t="n">
        <x:v>2</x:v>
      </x:c>
      <x:c r="L723" s="26" t="n">
        <x:v>438</x:v>
      </x:c>
      <x:c r="M723" s="27" t="n">
        <x:v>0.1</x:v>
      </x:c>
      <x:c r="N723" s="26" t="n">
        <x:f>K723*L723</x:f>
        <x:v>876</x:v>
      </x:c>
      <x:c r="O723" s="26" t="n">
        <x:f>N723*(1-M723)</x:f>
        <x:v>788.4</x:v>
      </x:c>
      <x:c r="P723" s="26" t="n">
        <x:v>280</x:v>
      </x:c>
      <x:c r="Q723" s="26" t="n">
        <x:f>K723*P723</x:f>
        <x:v>560</x:v>
      </x:c>
      <x:c r="R723" s="26" t="n">
        <x:f>O723-Q723</x:f>
        <x:v>228.39999999999998</x:v>
      </x:c>
      <x:c r="S723" s="28" t="n">
        <x:f>IF(O723=0,0,R723/O723)</x:f>
        <x:v>0.28970065956367325</x:v>
      </x:c>
      <x:c r="T723" s="25" t="str">
        <x:v>Bank Transfer</x:v>
      </x:c>
      <x:c r="U723" s="25" t="str">
        <x:v>Returned</x:v>
      </x:c>
      <x:c r="V723" s="29" t="n">
        <x:v>3</x:v>
      </x:c>
    </x:row>
    <x:row r="724">
      <x:c r="A724" s="23" t="str">
        <x:v>MAN-2025-00723</x:v>
      </x:c>
      <x:c r="B724" s="24" t="n">
        <x:v>46020</x:v>
      </x:c>
      <x:c r="C724" s="25" t="str">
        <x:v>Mansoura</x:v>
      </x:c>
      <x:c r="D724" s="25" t="str">
        <x:v>Aga</x:v>
      </x:c>
      <x:c r="E724" s="25" t="str">
        <x:v>Salma Mansour</x:v>
      </x:c>
      <x:c r="F724" s="25" t="str">
        <x:v>Hana Tarek</x:v>
      </x:c>
      <x:c r="G724" s="25" t="str">
        <x:v>Consumer</x:v>
      </x:c>
      <x:c r="H724" s="25" t="str">
        <x:v>Phone Order</x:v>
      </x:c>
      <x:c r="I724" s="25" t="str">
        <x:v>Home Appliances</x:v>
      </x:c>
      <x:c r="J724" s="25" t="str">
        <x:v>Washing Machine</x:v>
      </x:c>
      <x:c r="K724" s="25" t="n">
        <x:v>5</x:v>
      </x:c>
      <x:c r="L724" s="26" t="n">
        <x:v>15615</x:v>
      </x:c>
      <x:c r="M724" s="27" t="n">
        <x:v>0.1</x:v>
      </x:c>
      <x:c r="N724" s="26" t="n">
        <x:f>K724*L724</x:f>
        <x:v>78075</x:v>
      </x:c>
      <x:c r="O724" s="26" t="n">
        <x:f>N724*(1-M724)</x:f>
        <x:v>70267.5</x:v>
      </x:c>
      <x:c r="P724" s="26" t="n">
        <x:v>13993</x:v>
      </x:c>
      <x:c r="Q724" s="26" t="n">
        <x:f>K724*P724</x:f>
        <x:v>69965</x:v>
      </x:c>
      <x:c r="R724" s="26" t="n">
        <x:f>O724-Q724</x:f>
        <x:v>302.5</x:v>
      </x:c>
      <x:c r="S724" s="28" t="n">
        <x:f>IF(O724=0,0,R724/O724)</x:f>
        <x:v>0.004304977407763191</x:v>
      </x:c>
      <x:c r="T724" s="25" t="str">
        <x:v>Cash</x:v>
      </x:c>
      <x:c r="U724" s="25" t="str">
        <x:v>Completed</x:v>
      </x:c>
      <x:c r="V724" s="29" t="n">
        <x:v>5</x:v>
      </x:c>
    </x:row>
    <x:row r="725">
      <x:c r="A725" s="23" t="str">
        <x:v>MAN-2025-00724</x:v>
      </x:c>
      <x:c r="B725" s="24" t="n">
        <x:v>45705</x:v>
      </x:c>
      <x:c r="C725" s="25" t="str">
        <x:v>Mansoura</x:v>
      </x:c>
      <x:c r="D725" s="25" t="str">
        <x:v>Talkha</x:v>
      </x:c>
      <x:c r="E725" s="25" t="str">
        <x:v>Ali Sayed</x:v>
      </x:c>
      <x:c r="F725" s="25" t="str">
        <x:v>Omar Samir</x:v>
      </x:c>
      <x:c r="G725" s="25" t="str">
        <x:v>Consumer</x:v>
      </x:c>
      <x:c r="H725" s="25" t="str">
        <x:v>Website</x:v>
      </x:c>
      <x:c r="I725" s="25" t="str">
        <x:v>Home Appliances</x:v>
      </x:c>
      <x:c r="J725" s="25" t="str">
        <x:v>Washing Machine</x:v>
      </x:c>
      <x:c r="K725" s="25" t="n">
        <x:v>4</x:v>
      </x:c>
      <x:c r="L725" s="26" t="n">
        <x:v>16265</x:v>
      </x:c>
      <x:c r="M725" s="27" t="n">
        <x:v>0.05</x:v>
      </x:c>
      <x:c r="N725" s="26" t="n">
        <x:f>K725*L725</x:f>
        <x:v>65060</x:v>
      </x:c>
      <x:c r="O725" s="26" t="n">
        <x:f>N725*(1-M725)</x:f>
        <x:v>61807</x:v>
      </x:c>
      <x:c r="P725" s="26" t="n">
        <x:v>14148</x:v>
      </x:c>
      <x:c r="Q725" s="26" t="n">
        <x:f>K725*P725</x:f>
        <x:v>56592</x:v>
      </x:c>
      <x:c r="R725" s="26" t="n">
        <x:f>O725-Q725</x:f>
        <x:v>5215</x:v>
      </x:c>
      <x:c r="S725" s="28" t="n">
        <x:f>IF(O725=0,0,R725/O725)</x:f>
        <x:v>0.08437555616677722</x:v>
      </x:c>
      <x:c r="T725" s="25" t="str">
        <x:v>Credit Card</x:v>
      </x:c>
      <x:c r="U725" s="25" t="str">
        <x:v>Returned</x:v>
      </x:c>
      <x:c r="V725" s="29" t="n">
        <x:v>4</x:v>
      </x:c>
    </x:row>
    <x:row r="726">
      <x:c r="A726" s="23" t="str">
        <x:v>MAN-2025-00725</x:v>
      </x:c>
      <x:c r="B726" s="24" t="n">
        <x:v>45942</x:v>
      </x:c>
      <x:c r="C726" s="25" t="str">
        <x:v>Mansoura</x:v>
      </x:c>
      <x:c r="D726" s="25" t="str">
        <x:v>Mansoura City</x:v>
      </x:c>
      <x:c r="E726" s="25" t="str">
        <x:v>Salma Mansour</x:v>
      </x:c>
      <x:c r="F726" s="25" t="str">
        <x:v>Mostafa Hassan</x:v>
      </x:c>
      <x:c r="G726" s="25" t="str">
        <x:v>Small Business</x:v>
      </x:c>
      <x:c r="H726" s="25" t="str">
        <x:v>Retail Store</x:v>
      </x:c>
      <x:c r="I726" s="25" t="str">
        <x:v>Office Supplies</x:v>
      </x:c>
      <x:c r="J726" s="25" t="str">
        <x:v>Ink Cartridge</x:v>
      </x:c>
      <x:c r="K726" s="25" t="n">
        <x:v>2</x:v>
      </x:c>
      <x:c r="L726" s="26" t="n">
        <x:v>790</x:v>
      </x:c>
      <x:c r="M726" s="27" t="n">
        <x:v>0</x:v>
      </x:c>
      <x:c r="N726" s="26" t="n">
        <x:f>K726*L726</x:f>
        <x:v>1580</x:v>
      </x:c>
      <x:c r="O726" s="26" t="n">
        <x:f>N726*(1-M726)</x:f>
        <x:v>1580</x:v>
      </x:c>
      <x:c r="P726" s="26" t="n">
        <x:v>556</x:v>
      </x:c>
      <x:c r="Q726" s="26" t="n">
        <x:f>K726*P726</x:f>
        <x:v>1112</x:v>
      </x:c>
      <x:c r="R726" s="26" t="n">
        <x:f>O726-Q726</x:f>
        <x:v>468</x:v>
      </x:c>
      <x:c r="S726" s="28" t="n">
        <x:f>IF(O726=0,0,R726/O726)</x:f>
        <x:v>0.29620253164556964</x:v>
      </x:c>
      <x:c r="T726" s="25" t="str">
        <x:v>Bank Transfer</x:v>
      </x:c>
      <x:c r="U726" s="25" t="str">
        <x:v>Completed</x:v>
      </x:c>
      <x:c r="V726" s="29" t="n">
        <x:v>5</x:v>
      </x:c>
    </x:row>
    <x:row r="727">
      <x:c r="A727" s="23" t="str">
        <x:v>MAN-2025-00726</x:v>
      </x:c>
      <x:c r="B727" s="24" t="n">
        <x:v>45694</x:v>
      </x:c>
      <x:c r="C727" s="25" t="str">
        <x:v>Mansoura</x:v>
      </x:c>
      <x:c r="D727" s="25" t="str">
        <x:v>Mansoura City</x:v>
      </x:c>
      <x:c r="E727" s="25" t="str">
        <x:v>Ali Sayed</x:v>
      </x:c>
      <x:c r="F727" s="25" t="str">
        <x:v>Ali Nasser</x:v>
      </x:c>
      <x:c r="G727" s="25" t="str">
        <x:v>Consumer</x:v>
      </x:c>
      <x:c r="H727" s="25" t="str">
        <x:v>Phone Order</x:v>
      </x:c>
      <x:c r="I727" s="25" t="str">
        <x:v>Home Appliances</x:v>
      </x:c>
      <x:c r="J727" s="25" t="str">
        <x:v>Washing Machine</x:v>
      </x:c>
      <x:c r="K727" s="25" t="n">
        <x:v>6</x:v>
      </x:c>
      <x:c r="L727" s="26" t="n">
        <x:v>16903</x:v>
      </x:c>
      <x:c r="M727" s="27" t="n">
        <x:v>0.15</x:v>
      </x:c>
      <x:c r="N727" s="26" t="n">
        <x:f>K727*L727</x:f>
        <x:v>101418</x:v>
      </x:c>
      <x:c r="O727" s="26" t="n">
        <x:f>N727*(1-M727)</x:f>
        <x:v>86205.3</x:v>
      </x:c>
      <x:c r="P727" s="26" t="n">
        <x:v>14321</x:v>
      </x:c>
      <x:c r="Q727" s="26" t="n">
        <x:f>K727*P727</x:f>
        <x:v>85926</x:v>
      </x:c>
      <x:c r="R727" s="26" t="n">
        <x:f>O727-Q727</x:f>
        <x:v>279.3000000000029</x:v>
      </x:c>
      <x:c r="S727" s="28" t="n">
        <x:f>IF(O727=0,0,R727/O727)</x:f>
        <x:v>0.003239940003688902</x:v>
      </x:c>
      <x:c r="T727" s="25" t="str">
        <x:v>Credit Card</x:v>
      </x:c>
      <x:c r="U727" s="25" t="str">
        <x:v>Returned</x:v>
      </x:c>
      <x:c r="V727" s="29" t="n">
        <x:v>4</x:v>
      </x:c>
    </x:row>
    <x:row r="728">
      <x:c r="A728" s="23" t="str">
        <x:v>MAN-2025-00727</x:v>
      </x:c>
      <x:c r="B728" s="24" t="n">
        <x:v>45743</x:v>
      </x:c>
      <x:c r="C728" s="25" t="str">
        <x:v>Mansoura</x:v>
      </x:c>
      <x:c r="D728" s="25" t="str">
        <x:v>Mit Ghamr</x:v>
      </x:c>
      <x:c r="E728" s="25" t="str">
        <x:v>Ali Sayed</x:v>
      </x:c>
      <x:c r="F728" s="25" t="str">
        <x:v>Ahmed Mansour</x:v>
      </x:c>
      <x:c r="G728" s="25" t="str">
        <x:v>Corporate</x:v>
      </x:c>
      <x:c r="H728" s="25" t="str">
        <x:v>Website</x:v>
      </x:c>
      <x:c r="I728" s="25" t="str">
        <x:v>Electronics</x:v>
      </x:c>
      <x:c r="J728" s="25" t="str">
        <x:v>Smartphone</x:v>
      </x:c>
      <x:c r="K728" s="25" t="n">
        <x:v>5</x:v>
      </x:c>
      <x:c r="L728" s="26" t="n">
        <x:v>12983</x:v>
      </x:c>
      <x:c r="M728" s="27" t="n">
        <x:v>0</x:v>
      </x:c>
      <x:c r="N728" s="26" t="n">
        <x:f>K728*L728</x:f>
        <x:v>64915</x:v>
      </x:c>
      <x:c r="O728" s="26" t="n">
        <x:f>N728*(1-M728)</x:f>
        <x:v>64915</x:v>
      </x:c>
      <x:c r="P728" s="26" t="n">
        <x:v>10580</x:v>
      </x:c>
      <x:c r="Q728" s="26" t="n">
        <x:f>K728*P728</x:f>
        <x:v>52900</x:v>
      </x:c>
      <x:c r="R728" s="26" t="n">
        <x:f>O728-Q728</x:f>
        <x:v>12015</x:v>
      </x:c>
      <x:c r="S728" s="28" t="n">
        <x:f>IF(O728=0,0,R728/O728)</x:f>
        <x:v>0.1850881922514057</x:v>
      </x:c>
      <x:c r="T728" s="25" t="str">
        <x:v>Cash</x:v>
      </x:c>
      <x:c r="U728" s="25" t="str">
        <x:v>Completed</x:v>
      </x:c>
      <x:c r="V728" s="29" t="n">
        <x:v>4</x:v>
      </x:c>
    </x:row>
    <x:row r="729">
      <x:c r="A729" s="23" t="str">
        <x:v>MAN-2025-00728</x:v>
      </x:c>
      <x:c r="B729" s="24" t="n">
        <x:v>45968</x:v>
      </x:c>
      <x:c r="C729" s="25" t="str">
        <x:v>Mansoura</x:v>
      </x:c>
      <x:c r="D729" s="25" t="str">
        <x:v>Talkha</x:v>
      </x:c>
      <x:c r="E729" s="25" t="str">
        <x:v>Youssef Fathy</x:v>
      </x:c>
      <x:c r="F729" s="25" t="str">
        <x:v>Mahmoud Ibrahim</x:v>
      </x:c>
      <x:c r="G729" s="25" t="str">
        <x:v>Consumer</x:v>
      </x:c>
      <x:c r="H729" s="25" t="str">
        <x:v>Mobile App</x:v>
      </x:c>
      <x:c r="I729" s="25" t="str">
        <x:v>Furniture</x:v>
      </x:c>
      <x:c r="J729" s="25" t="str">
        <x:v>Bookshelf</x:v>
      </x:c>
      <x:c r="K729" s="25" t="n">
        <x:v>3</x:v>
      </x:c>
      <x:c r="L729" s="26" t="n">
        <x:v>3176</x:v>
      </x:c>
      <x:c r="M729" s="27" t="n">
        <x:v>0.1</x:v>
      </x:c>
      <x:c r="N729" s="26" t="n">
        <x:f>K729*L729</x:f>
        <x:v>9528</x:v>
      </x:c>
      <x:c r="O729" s="26" t="n">
        <x:f>N729*(1-M729)</x:f>
        <x:v>8575.2</x:v>
      </x:c>
      <x:c r="P729" s="26" t="n">
        <x:v>2166</x:v>
      </x:c>
      <x:c r="Q729" s="26" t="n">
        <x:f>K729*P729</x:f>
        <x:v>6498</x:v>
      </x:c>
      <x:c r="R729" s="26" t="n">
        <x:f>O729-Q729</x:f>
        <x:v>2077.2000000000007</x:v>
      </x:c>
      <x:c r="S729" s="28" t="n">
        <x:f>IF(O729=0,0,R729/O729)</x:f>
        <x:v>0.24223341729638964</x:v>
      </x:c>
      <x:c r="T729" s="25" t="str">
        <x:v>Debit Card</x:v>
      </x:c>
      <x:c r="U729" s="25" t="str">
        <x:v>Completed</x:v>
      </x:c>
      <x:c r="V729" s="29" t="n">
        <x:v>3</x:v>
      </x:c>
    </x:row>
    <x:row r="730">
      <x:c r="A730" s="23" t="str">
        <x:v>MAN-2025-00729</x:v>
      </x:c>
      <x:c r="B730" s="24" t="n">
        <x:v>45786</x:v>
      </x:c>
      <x:c r="C730" s="25" t="str">
        <x:v>Mansoura</x:v>
      </x:c>
      <x:c r="D730" s="25" t="str">
        <x:v>Mansoura City</x:v>
      </x:c>
      <x:c r="E730" s="25" t="str">
        <x:v>Aya Farouk</x:v>
      </x:c>
      <x:c r="F730" s="25" t="str">
        <x:v>Karim Fathy</x:v>
      </x:c>
      <x:c r="G730" s="25" t="str">
        <x:v>Consumer</x:v>
      </x:c>
      <x:c r="H730" s="25" t="str">
        <x:v>Retail Store</x:v>
      </x:c>
      <x:c r="I730" s="25" t="str">
        <x:v>Office Supplies</x:v>
      </x:c>
      <x:c r="J730" s="25" t="str">
        <x:v>Ink Cartridge</x:v>
      </x:c>
      <x:c r="K730" s="25" t="n">
        <x:v>3</x:v>
      </x:c>
      <x:c r="L730" s="26" t="n">
        <x:v>829</x:v>
      </x:c>
      <x:c r="M730" s="27" t="n">
        <x:v>0.1</x:v>
      </x:c>
      <x:c r="N730" s="26" t="n">
        <x:f>K730*L730</x:f>
        <x:v>2487</x:v>
      </x:c>
      <x:c r="O730" s="26" t="n">
        <x:f>N730*(1-M730)</x:f>
        <x:v>2238.3</x:v>
      </x:c>
      <x:c r="P730" s="26" t="n">
        <x:v>575</x:v>
      </x:c>
      <x:c r="Q730" s="26" t="n">
        <x:f>K730*P730</x:f>
        <x:v>1725</x:v>
      </x:c>
      <x:c r="R730" s="26" t="n">
        <x:f>O730-Q730</x:f>
        <x:v>513.3000000000002</x:v>
      </x:c>
      <x:c r="S730" s="28" t="n">
        <x:f>IF(O730=0,0,R730/O730)</x:f>
        <x:v>0.22932582763704604</x:v>
      </x:c>
      <x:c r="T730" s="25" t="str">
        <x:v>Bank Transfer</x:v>
      </x:c>
      <x:c r="U730" s="25" t="str">
        <x:v>Completed</x:v>
      </x:c>
      <x:c r="V730" s="29" t="n">
        <x:v>5</x:v>
      </x:c>
    </x:row>
    <x:row r="731">
      <x:c r="A731" s="23" t="str">
        <x:v>MAN-2025-00730</x:v>
      </x:c>
      <x:c r="B731" s="24" t="n">
        <x:v>45816</x:v>
      </x:c>
      <x:c r="C731" s="25" t="str">
        <x:v>Mansoura</x:v>
      </x:c>
      <x:c r="D731" s="25" t="str">
        <x:v>Aga</x:v>
      </x:c>
      <x:c r="E731" s="25" t="str">
        <x:v>Aya Farouk</x:v>
      </x:c>
      <x:c r="F731" s="25" t="str">
        <x:v>Salma Fathy</x:v>
      </x:c>
      <x:c r="G731" s="25" t="str">
        <x:v>Small Business</x:v>
      </x:c>
      <x:c r="H731" s="25" t="str">
        <x:v>Retail Store</x:v>
      </x:c>
      <x:c r="I731" s="25" t="str">
        <x:v>Office Supplies</x:v>
      </x:c>
      <x:c r="J731" s="25" t="str">
        <x:v>Calculator</x:v>
      </x:c>
      <x:c r="K731" s="25" t="n">
        <x:v>6</x:v>
      </x:c>
      <x:c r="L731" s="26" t="n">
        <x:v>443</x:v>
      </x:c>
      <x:c r="M731" s="27" t="n">
        <x:v>0</x:v>
      </x:c>
      <x:c r="N731" s="26" t="n">
        <x:f>K731*L731</x:f>
        <x:v>2658</x:v>
      </x:c>
      <x:c r="O731" s="26" t="n">
        <x:f>N731*(1-M731)</x:f>
        <x:v>2658</x:v>
      </x:c>
      <x:c r="P731" s="26" t="n">
        <x:v>291</x:v>
      </x:c>
      <x:c r="Q731" s="26" t="n">
        <x:f>K731*P731</x:f>
        <x:v>1746</x:v>
      </x:c>
      <x:c r="R731" s="26" t="n">
        <x:f>O731-Q731</x:f>
        <x:v>912</x:v>
      </x:c>
      <x:c r="S731" s="28" t="n">
        <x:f>IF(O731=0,0,R731/O731)</x:f>
        <x:v>0.3431151241534989</x:v>
      </x:c>
      <x:c r="T731" s="25" t="str">
        <x:v>Cash</x:v>
      </x:c>
      <x:c r="U731" s="25" t="str">
        <x:v>Cancelled</x:v>
      </x:c>
      <x:c r="V731" s="29" t="n">
        <x:v>3</x:v>
      </x:c>
    </x:row>
    <x:row r="732">
      <x:c r="A732" s="23" t="str">
        <x:v>MAN-2025-00731</x:v>
      </x:c>
      <x:c r="B732" s="24" t="n">
        <x:v>45815</x:v>
      </x:c>
      <x:c r="C732" s="25" t="str">
        <x:v>Mansoura</x:v>
      </x:c>
      <x:c r="D732" s="25" t="str">
        <x:v>Talkha</x:v>
      </x:c>
      <x:c r="E732" s="25" t="str">
        <x:v>Youssef Fathy</x:v>
      </x:c>
      <x:c r="F732" s="25" t="str">
        <x:v>Mariam Mansour</x:v>
      </x:c>
      <x:c r="G732" s="25" t="str">
        <x:v>Corporate</x:v>
      </x:c>
      <x:c r="H732" s="25" t="str">
        <x:v>Mobile App</x:v>
      </x:c>
      <x:c r="I732" s="25" t="str">
        <x:v>Electronics</x:v>
      </x:c>
      <x:c r="J732" s="25" t="str">
        <x:v>Smartphone</x:v>
      </x:c>
      <x:c r="K732" s="25" t="n">
        <x:v>6</x:v>
      </x:c>
      <x:c r="L732" s="26" t="n">
        <x:v>12815</x:v>
      </x:c>
      <x:c r="M732" s="27" t="n">
        <x:v>0</x:v>
      </x:c>
      <x:c r="N732" s="26" t="n">
        <x:f>K732*L732</x:f>
        <x:v>76890</x:v>
      </x:c>
      <x:c r="O732" s="26" t="n">
        <x:f>N732*(1-M732)</x:f>
        <x:v>76890</x:v>
      </x:c>
      <x:c r="P732" s="26" t="n">
        <x:v>11025</x:v>
      </x:c>
      <x:c r="Q732" s="26" t="n">
        <x:f>K732*P732</x:f>
        <x:v>66150</x:v>
      </x:c>
      <x:c r="R732" s="26" t="n">
        <x:f>O732-Q732</x:f>
        <x:v>10740</x:v>
      </x:c>
      <x:c r="S732" s="28" t="n">
        <x:f>IF(O732=0,0,R732/O732)</x:f>
        <x:v>0.13968006242684355</x:v>
      </x:c>
      <x:c r="T732" s="25" t="str">
        <x:v>Digital Wallet</x:v>
      </x:c>
      <x:c r="U732" s="25" t="str">
        <x:v>Completed</x:v>
      </x:c>
      <x:c r="V732" s="29" t="n">
        <x:v>4</x:v>
      </x:c>
    </x:row>
    <x:row r="733">
      <x:c r="A733" s="23" t="str">
        <x:v>MAN-2025-00732</x:v>
      </x:c>
      <x:c r="B733" s="24" t="n">
        <x:v>46016</x:v>
      </x:c>
      <x:c r="C733" s="25" t="str">
        <x:v>Mansoura</x:v>
      </x:c>
      <x:c r="D733" s="25" t="str">
        <x:v>Sherbin</x:v>
      </x:c>
      <x:c r="E733" s="25" t="str">
        <x:v>Aya Farouk</x:v>
      </x:c>
      <x:c r="F733" s="25" t="str">
        <x:v>Mahmoud Farouk</x:v>
      </x:c>
      <x:c r="G733" s="25" t="str">
        <x:v>Corporate</x:v>
      </x:c>
      <x:c r="H733" s="25" t="str">
        <x:v>Retail Store</x:v>
      </x:c>
      <x:c r="I733" s="25" t="str">
        <x:v>Furniture</x:v>
      </x:c>
      <x:c r="J733" s="25" t="str">
        <x:v>Bookshelf</x:v>
      </x:c>
      <x:c r="K733" s="25" t="n">
        <x:v>3</x:v>
      </x:c>
      <x:c r="L733" s="26" t="n">
        <x:v>2938</x:v>
      </x:c>
      <x:c r="M733" s="27" t="n">
        <x:v>0.05</x:v>
      </x:c>
      <x:c r="N733" s="26" t="n">
        <x:f>K733*L733</x:f>
        <x:v>8814</x:v>
      </x:c>
      <x:c r="O733" s="26" t="n">
        <x:f>N733*(1-M733)</x:f>
        <x:v>8373.3</x:v>
      </x:c>
      <x:c r="P733" s="26" t="n">
        <x:v>2181</x:v>
      </x:c>
      <x:c r="Q733" s="26" t="n">
        <x:f>K733*P733</x:f>
        <x:v>6543</x:v>
      </x:c>
      <x:c r="R733" s="26" t="n">
        <x:f>O733-Q733</x:f>
        <x:v>1830.2999999999993</x:v>
      </x:c>
      <x:c r="S733" s="28" t="n">
        <x:f>IF(O733=0,0,R733/O733)</x:f>
        <x:v>0.21858765361327068</x:v>
      </x:c>
      <x:c r="T733" s="25" t="str">
        <x:v>Cash</x:v>
      </x:c>
      <x:c r="U733" s="25" t="str">
        <x:v>Completed</x:v>
      </x:c>
      <x:c r="V733" s="29" t="n">
        <x:v>4</x:v>
      </x:c>
    </x:row>
    <x:row r="734">
      <x:c r="A734" s="23" t="str">
        <x:v>MAN-2025-00733</x:v>
      </x:c>
      <x:c r="B734" s="24" t="n">
        <x:v>45837</x:v>
      </x:c>
      <x:c r="C734" s="25" t="str">
        <x:v>Mansoura</x:v>
      </x:c>
      <x:c r="D734" s="25" t="str">
        <x:v>Mansoura City</x:v>
      </x:c>
      <x:c r="E734" s="25" t="str">
        <x:v>Ali Sayed</x:v>
      </x:c>
      <x:c r="F734" s="25" t="str">
        <x:v>Omar Sayed</x:v>
      </x:c>
      <x:c r="G734" s="25" t="str">
        <x:v>Corporate</x:v>
      </x:c>
      <x:c r="H734" s="25" t="str">
        <x:v>Retail Store</x:v>
      </x:c>
      <x:c r="I734" s="25" t="str">
        <x:v>Home Appliances</x:v>
      </x:c>
      <x:c r="J734" s="25" t="str">
        <x:v>Washing Machine</x:v>
      </x:c>
      <x:c r="K734" s="25" t="n">
        <x:v>4</x:v>
      </x:c>
      <x:c r="L734" s="26" t="n">
        <x:v>16349</x:v>
      </x:c>
      <x:c r="M734" s="27" t="n">
        <x:v>0.1</x:v>
      </x:c>
      <x:c r="N734" s="26" t="n">
        <x:f>K734*L734</x:f>
        <x:v>65396</x:v>
      </x:c>
      <x:c r="O734" s="26" t="n">
        <x:f>N734*(1-M734)</x:f>
        <x:v>58856.4</x:v>
      </x:c>
      <x:c r="P734" s="26" t="n">
        <x:v>14629</x:v>
      </x:c>
      <x:c r="Q734" s="26" t="n">
        <x:f>K734*P734</x:f>
        <x:v>58516</x:v>
      </x:c>
      <x:c r="R734" s="26" t="n">
        <x:f>O734-Q734</x:f>
        <x:v>340.40000000000146</x:v>
      </x:c>
      <x:c r="S734" s="28" t="n">
        <x:f>IF(O734=0,0,R734/O734)</x:f>
        <x:v>0.005783568142122207</x:v>
      </x:c>
      <x:c r="T734" s="25" t="str">
        <x:v>Digital Wallet</x:v>
      </x:c>
      <x:c r="U734" s="25" t="str">
        <x:v>Completed</x:v>
      </x:c>
      <x:c r="V734" s="29" t="n">
        <x:v>5</x:v>
      </x:c>
    </x:row>
    <x:row r="735">
      <x:c r="A735" s="23" t="str">
        <x:v>MAN-2025-00734</x:v>
      </x:c>
      <x:c r="B735" s="24" t="n">
        <x:v>46008</x:v>
      </x:c>
      <x:c r="C735" s="25" t="str">
        <x:v>Mansoura</x:v>
      </x:c>
      <x:c r="D735" s="25" t="str">
        <x:v>Talkha</x:v>
      </x:c>
      <x:c r="E735" s="25" t="str">
        <x:v>Aya Farouk</x:v>
      </x:c>
      <x:c r="F735" s="25" t="str">
        <x:v>Sara Sayed</x:v>
      </x:c>
      <x:c r="G735" s="25" t="str">
        <x:v>Corporate</x:v>
      </x:c>
      <x:c r="H735" s="25" t="str">
        <x:v>Retail Store</x:v>
      </x:c>
      <x:c r="I735" s="25" t="str">
        <x:v>Home Appliances</x:v>
      </x:c>
      <x:c r="J735" s="25" t="str">
        <x:v>Microwave</x:v>
      </x:c>
      <x:c r="K735" s="25" t="n">
        <x:v>4</x:v>
      </x:c>
      <x:c r="L735" s="26" t="n">
        <x:v>5274</x:v>
      </x:c>
      <x:c r="M735" s="27" t="n">
        <x:v>0</x:v>
      </x:c>
      <x:c r="N735" s="26" t="n">
        <x:f>K735*L735</x:f>
        <x:v>21096</x:v>
      </x:c>
      <x:c r="O735" s="26" t="n">
        <x:f>N735*(1-M735)</x:f>
        <x:v>21096</x:v>
      </x:c>
      <x:c r="P735" s="26" t="n">
        <x:v>4538</x:v>
      </x:c>
      <x:c r="Q735" s="26" t="n">
        <x:f>K735*P735</x:f>
        <x:v>18152</x:v>
      </x:c>
      <x:c r="R735" s="26" t="n">
        <x:f>O735-Q735</x:f>
        <x:v>2944</x:v>
      </x:c>
      <x:c r="S735" s="28" t="n">
        <x:f>IF(O735=0,0,R735/O735)</x:f>
        <x:v>0.13955252180508154</x:v>
      </x:c>
      <x:c r="T735" s="25" t="str">
        <x:v>Cash</x:v>
      </x:c>
      <x:c r="U735" s="25" t="str">
        <x:v>Completed</x:v>
      </x:c>
      <x:c r="V735" s="29" t="n">
        <x:v>5</x:v>
      </x:c>
    </x:row>
    <x:row r="736">
      <x:c r="A736" s="23" t="str">
        <x:v>MAN-2025-00735</x:v>
      </x:c>
      <x:c r="B736" s="24" t="n">
        <x:v>45829</x:v>
      </x:c>
      <x:c r="C736" s="25" t="str">
        <x:v>Mansoura</x:v>
      </x:c>
      <x:c r="D736" s="25" t="str">
        <x:v>Mit Ghamr</x:v>
      </x:c>
      <x:c r="E736" s="25" t="str">
        <x:v>Salma Mansour</x:v>
      </x:c>
      <x:c r="F736" s="25" t="str">
        <x:v>Nour Samir</x:v>
      </x:c>
      <x:c r="G736" s="25" t="str">
        <x:v>Consumer</x:v>
      </x:c>
      <x:c r="H736" s="25" t="str">
        <x:v>Phone Order</x:v>
      </x:c>
      <x:c r="I736" s="25" t="str">
        <x:v>Office Supplies</x:v>
      </x:c>
      <x:c r="J736" s="25" t="str">
        <x:v>Calculator</x:v>
      </x:c>
      <x:c r="K736" s="25" t="n">
        <x:v>3</x:v>
      </x:c>
      <x:c r="L736" s="26" t="n">
        <x:v>433</x:v>
      </x:c>
      <x:c r="M736" s="27" t="n">
        <x:v>0</x:v>
      </x:c>
      <x:c r="N736" s="26" t="n">
        <x:f>K736*L736</x:f>
        <x:v>1299</x:v>
      </x:c>
      <x:c r="O736" s="26" t="n">
        <x:f>N736*(1-M736)</x:f>
        <x:v>1299</x:v>
      </x:c>
      <x:c r="P736" s="26" t="n">
        <x:v>284</x:v>
      </x:c>
      <x:c r="Q736" s="26" t="n">
        <x:f>K736*P736</x:f>
        <x:v>852</x:v>
      </x:c>
      <x:c r="R736" s="26" t="n">
        <x:f>O736-Q736</x:f>
        <x:v>447</x:v>
      </x:c>
      <x:c r="S736" s="28" t="n">
        <x:f>IF(O736=0,0,R736/O736)</x:f>
        <x:v>0.3441108545034642</x:v>
      </x:c>
      <x:c r="T736" s="25" t="str">
        <x:v>Debit Card</x:v>
      </x:c>
      <x:c r="U736" s="25" t="str">
        <x:v>Completed</x:v>
      </x:c>
      <x:c r="V736" s="29" t="n">
        <x:v>5</x:v>
      </x:c>
    </x:row>
    <x:row r="737">
      <x:c r="A737" s="23" t="str">
        <x:v>MAN-2025-00736</x:v>
      </x:c>
      <x:c r="B737" s="24" t="n">
        <x:v>45697</x:v>
      </x:c>
      <x:c r="C737" s="25" t="str">
        <x:v>Mansoura</x:v>
      </x:c>
      <x:c r="D737" s="25" t="str">
        <x:v>Mansoura City</x:v>
      </x:c>
      <x:c r="E737" s="25" t="str">
        <x:v>Aya Farouk</x:v>
      </x:c>
      <x:c r="F737" s="25" t="str">
        <x:v>Mohamed Mansour</x:v>
      </x:c>
      <x:c r="G737" s="25" t="str">
        <x:v>Corporate</x:v>
      </x:c>
      <x:c r="H737" s="25" t="str">
        <x:v>Mobile App</x:v>
      </x:c>
      <x:c r="I737" s="25" t="str">
        <x:v>Home Appliances</x:v>
      </x:c>
      <x:c r="J737" s="25" t="str">
        <x:v>Microwave</x:v>
      </x:c>
      <x:c r="K737" s="25" t="n">
        <x:v>1</x:v>
      </x:c>
      <x:c r="L737" s="26" t="n">
        <x:v>5612</x:v>
      </x:c>
      <x:c r="M737" s="27" t="n">
        <x:v>0</x:v>
      </x:c>
      <x:c r="N737" s="26" t="n">
        <x:f>K737*L737</x:f>
        <x:v>5612</x:v>
      </x:c>
      <x:c r="O737" s="26" t="n">
        <x:f>N737*(1-M737)</x:f>
        <x:v>5612</x:v>
      </x:c>
      <x:c r="P737" s="26" t="n">
        <x:v>4273</x:v>
      </x:c>
      <x:c r="Q737" s="26" t="n">
        <x:f>K737*P737</x:f>
        <x:v>4273</x:v>
      </x:c>
      <x:c r="R737" s="26" t="n">
        <x:f>O737-Q737</x:f>
        <x:v>1339</x:v>
      </x:c>
      <x:c r="S737" s="28" t="n">
        <x:f>IF(O737=0,0,R737/O737)</x:f>
        <x:v>0.23859586600142552</x:v>
      </x:c>
      <x:c r="T737" s="25" t="str">
        <x:v>Digital Wallet</x:v>
      </x:c>
      <x:c r="U737" s="25" t="str">
        <x:v>Completed</x:v>
      </x:c>
      <x:c r="V737" s="29" t="n">
        <x:v>5</x:v>
      </x:c>
    </x:row>
    <x:row r="738">
      <x:c r="A738" s="23" t="str">
        <x:v>MAN-2025-00737</x:v>
      </x:c>
      <x:c r="B738" s="24" t="n">
        <x:v>45891</x:v>
      </x:c>
      <x:c r="C738" s="25" t="str">
        <x:v>Mansoura</x:v>
      </x:c>
      <x:c r="D738" s="25" t="str">
        <x:v>Mit Ghamr</x:v>
      </x:c>
      <x:c r="E738" s="25" t="str">
        <x:v>Salma Mansour</x:v>
      </x:c>
      <x:c r="F738" s="25" t="str">
        <x:v>Karim Gamal</x:v>
      </x:c>
      <x:c r="G738" s="25" t="str">
        <x:v>Corporate</x:v>
      </x:c>
      <x:c r="H738" s="25" t="str">
        <x:v>Retail Store</x:v>
      </x:c>
      <x:c r="I738" s="25" t="str">
        <x:v>Furniture</x:v>
      </x:c>
      <x:c r="J738" s="25" t="str">
        <x:v>Office Chair</x:v>
      </x:c>
      <x:c r="K738" s="25" t="n">
        <x:v>2</x:v>
      </x:c>
      <x:c r="L738" s="26" t="n">
        <x:v>3901</x:v>
      </x:c>
      <x:c r="M738" s="27" t="n">
        <x:v>0.1</x:v>
      </x:c>
      <x:c r="N738" s="26" t="n">
        <x:f>K738*L738</x:f>
        <x:v>7802</x:v>
      </x:c>
      <x:c r="O738" s="26" t="n">
        <x:f>N738*(1-M738)</x:f>
        <x:v>7021.8</x:v>
      </x:c>
      <x:c r="P738" s="26" t="n">
        <x:v>2797</x:v>
      </x:c>
      <x:c r="Q738" s="26" t="n">
        <x:f>K738*P738</x:f>
        <x:v>5594</x:v>
      </x:c>
      <x:c r="R738" s="26" t="n">
        <x:f>O738-Q738</x:f>
        <x:v>1427.8000000000002</x:v>
      </x:c>
      <x:c r="S738" s="28" t="n">
        <x:f>IF(O738=0,0,R738/O738)</x:f>
        <x:v>0.20333817539662197</x:v>
      </x:c>
      <x:c r="T738" s="25" t="str">
        <x:v>Debit Card</x:v>
      </x:c>
      <x:c r="U738" s="25" t="str">
        <x:v>Completed</x:v>
      </x:c>
      <x:c r="V738" s="29" t="n">
        <x:v>5</x:v>
      </x:c>
    </x:row>
    <x:row r="739">
      <x:c r="A739" s="23" t="str">
        <x:v>MAN-2025-00738</x:v>
      </x:c>
      <x:c r="B739" s="24" t="n">
        <x:v>46014</x:v>
      </x:c>
      <x:c r="C739" s="25" t="str">
        <x:v>Mansoura</x:v>
      </x:c>
      <x:c r="D739" s="25" t="str">
        <x:v>Mansoura City</x:v>
      </x:c>
      <x:c r="E739" s="25" t="str">
        <x:v>Ali Sayed</x:v>
      </x:c>
      <x:c r="F739" s="25" t="str">
        <x:v>Aya Ibrahim</x:v>
      </x:c>
      <x:c r="G739" s="25" t="str">
        <x:v>Small Business</x:v>
      </x:c>
      <x:c r="H739" s="25" t="str">
        <x:v>Website</x:v>
      </x:c>
      <x:c r="I739" s="25" t="str">
        <x:v>Electronics</x:v>
      </x:c>
      <x:c r="J739" s="25" t="str">
        <x:v>Smartphone</x:v>
      </x:c>
      <x:c r="K739" s="25" t="n">
        <x:v>4</x:v>
      </x:c>
      <x:c r="L739" s="26" t="n">
        <x:v>12928</x:v>
      </x:c>
      <x:c r="M739" s="27" t="n">
        <x:v>0.05</x:v>
      </x:c>
      <x:c r="N739" s="26" t="n">
        <x:f>K739*L739</x:f>
        <x:v>51712</x:v>
      </x:c>
      <x:c r="O739" s="26" t="n">
        <x:f>N739*(1-M739)</x:f>
        <x:v>49126.399999999994</x:v>
      </x:c>
      <x:c r="P739" s="26" t="n">
        <x:v>10790</x:v>
      </x:c>
      <x:c r="Q739" s="26" t="n">
        <x:f>K739*P739</x:f>
        <x:v>43160</x:v>
      </x:c>
      <x:c r="R739" s="26" t="n">
        <x:f>O739-Q739</x:f>
        <x:v>5966.399999999994</x:v>
      </x:c>
      <x:c r="S739" s="28" t="n">
        <x:f>IF(O739=0,0,R739/O739)</x:f>
        <x:v>0.1214499739447628</x:v>
      </x:c>
      <x:c r="T739" s="25" t="str">
        <x:v>Cash</x:v>
      </x:c>
      <x:c r="U739" s="25" t="str">
        <x:v>Completed</x:v>
      </x:c>
      <x:c r="V739" s="29" t="n">
        <x:v>3</x:v>
      </x:c>
    </x:row>
    <x:row r="740">
      <x:c r="A740" s="23" t="str">
        <x:v>MAN-2025-00739</x:v>
      </x:c>
      <x:c r="B740" s="24" t="n">
        <x:v>45826</x:v>
      </x:c>
      <x:c r="C740" s="25" t="str">
        <x:v>Mansoura</x:v>
      </x:c>
      <x:c r="D740" s="25" t="str">
        <x:v>Mit Ghamr</x:v>
      </x:c>
      <x:c r="E740" s="25" t="str">
        <x:v>Youssef Fathy</x:v>
      </x:c>
      <x:c r="F740" s="25" t="str">
        <x:v>Mariam Sayed</x:v>
      </x:c>
      <x:c r="G740" s="25" t="str">
        <x:v>Corporate</x:v>
      </x:c>
      <x:c r="H740" s="25" t="str">
        <x:v>Retail Store</x:v>
      </x:c>
      <x:c r="I740" s="25" t="str">
        <x:v>Office Supplies</x:v>
      </x:c>
      <x:c r="J740" s="25" t="str">
        <x:v>Paper Box</x:v>
      </x:c>
      <x:c r="K740" s="25" t="n">
        <x:v>5</x:v>
      </x:c>
      <x:c r="L740" s="26" t="n">
        <x:v>381</x:v>
      </x:c>
      <x:c r="M740" s="27" t="n">
        <x:v>0.1</x:v>
      </x:c>
      <x:c r="N740" s="26" t="n">
        <x:f>K740*L740</x:f>
        <x:v>1905</x:v>
      </x:c>
      <x:c r="O740" s="26" t="n">
        <x:f>N740*(1-M740)</x:f>
        <x:v>1714.5</x:v>
      </x:c>
      <x:c r="P740" s="26" t="n">
        <x:v>262</x:v>
      </x:c>
      <x:c r="Q740" s="26" t="n">
        <x:f>K740*P740</x:f>
        <x:v>1310</x:v>
      </x:c>
      <x:c r="R740" s="26" t="n">
        <x:f>O740-Q740</x:f>
        <x:v>404.5</x:v>
      </x:c>
      <x:c r="S740" s="28" t="n">
        <x:f>IF(O740=0,0,R740/O740)</x:f>
        <x:v>0.23592884222805482</x:v>
      </x:c>
      <x:c r="T740" s="25" t="str">
        <x:v>Bank Transfer</x:v>
      </x:c>
      <x:c r="U740" s="25" t="str">
        <x:v>Completed</x:v>
      </x:c>
      <x:c r="V740" s="29" t="n">
        <x:v>4</x:v>
      </x:c>
    </x:row>
    <x:row r="741">
      <x:c r="A741" s="23" t="str">
        <x:v>MAN-2025-00740</x:v>
      </x:c>
      <x:c r="B741" s="24" t="n">
        <x:v>45994</x:v>
      </x:c>
      <x:c r="C741" s="25" t="str">
        <x:v>Mansoura</x:v>
      </x:c>
      <x:c r="D741" s="25" t="str">
        <x:v>Sherbin</x:v>
      </x:c>
      <x:c r="E741" s="25" t="str">
        <x:v>Aya Farouk</x:v>
      </x:c>
      <x:c r="F741" s="25" t="str">
        <x:v>Mostafa Mansour</x:v>
      </x:c>
      <x:c r="G741" s="25" t="str">
        <x:v>Consumer</x:v>
      </x:c>
      <x:c r="H741" s="25" t="str">
        <x:v>Website</x:v>
      </x:c>
      <x:c r="I741" s="25" t="str">
        <x:v>Electronics</x:v>
      </x:c>
      <x:c r="J741" s="25" t="str">
        <x:v>Tablet</x:v>
      </x:c>
      <x:c r="K741" s="25" t="n">
        <x:v>1</x:v>
      </x:c>
      <x:c r="L741" s="26" t="n">
        <x:v>8529</x:v>
      </x:c>
      <x:c r="M741" s="27" t="n">
        <x:v>0</x:v>
      </x:c>
      <x:c r="N741" s="26" t="n">
        <x:f>K741*L741</x:f>
        <x:v>8529</x:v>
      </x:c>
      <x:c r="O741" s="26" t="n">
        <x:f>N741*(1-M741)</x:f>
        <x:v>8529</x:v>
      </x:c>
      <x:c r="P741" s="26" t="n">
        <x:v>7408</x:v>
      </x:c>
      <x:c r="Q741" s="26" t="n">
        <x:f>K741*P741</x:f>
        <x:v>7408</x:v>
      </x:c>
      <x:c r="R741" s="26" t="n">
        <x:f>O741-Q741</x:f>
        <x:v>1121</x:v>
      </x:c>
      <x:c r="S741" s="28" t="n">
        <x:f>IF(O741=0,0,R741/O741)</x:f>
        <x:v>0.13143393129323486</x:v>
      </x:c>
      <x:c r="T741" s="25" t="str">
        <x:v>Bank Transfer</x:v>
      </x:c>
      <x:c r="U741" s="25" t="str">
        <x:v>Completed</x:v>
      </x:c>
      <x:c r="V741" s="29" t="n">
        <x:v>4</x:v>
      </x:c>
    </x:row>
    <x:row r="742">
      <x:c r="A742" s="23" t="str">
        <x:v>MAN-2025-00741</x:v>
      </x:c>
      <x:c r="B742" s="24" t="n">
        <x:v>45848</x:v>
      </x:c>
      <x:c r="C742" s="25" t="str">
        <x:v>Mansoura</x:v>
      </x:c>
      <x:c r="D742" s="25" t="str">
        <x:v>Talkha</x:v>
      </x:c>
      <x:c r="E742" s="25" t="str">
        <x:v>Youssef Fathy</x:v>
      </x:c>
      <x:c r="F742" s="25" t="str">
        <x:v>Ali Tarek</x:v>
      </x:c>
      <x:c r="G742" s="25" t="str">
        <x:v>Consumer</x:v>
      </x:c>
      <x:c r="H742" s="25" t="str">
        <x:v>Website</x:v>
      </x:c>
      <x:c r="I742" s="25" t="str">
        <x:v>Furniture</x:v>
      </x:c>
      <x:c r="J742" s="25" t="str">
        <x:v>Sofa</x:v>
      </x:c>
      <x:c r="K742" s="25" t="n">
        <x:v>1</x:v>
      </x:c>
      <x:c r="L742" s="26" t="n">
        <x:v>12767</x:v>
      </x:c>
      <x:c r="M742" s="27" t="n">
        <x:v>0.1</x:v>
      </x:c>
      <x:c r="N742" s="26" t="n">
        <x:f>K742*L742</x:f>
        <x:v>12767</x:v>
      </x:c>
      <x:c r="O742" s="26" t="n">
        <x:f>N742*(1-M742)</x:f>
        <x:v>11490.300000000001</x:v>
      </x:c>
      <x:c r="P742" s="26" t="n">
        <x:v>10801</x:v>
      </x:c>
      <x:c r="Q742" s="26" t="n">
        <x:f>K742*P742</x:f>
        <x:v>10801</x:v>
      </x:c>
      <x:c r="R742" s="26" t="n">
        <x:f>O742-Q742</x:f>
        <x:v>689.3000000000011</x:v>
      </x:c>
      <x:c r="S742" s="28" t="n">
        <x:f>IF(O742=0,0,R742/O742)</x:f>
        <x:v>0.05998973046830814</x:v>
      </x:c>
      <x:c r="T742" s="25" t="str">
        <x:v>Cash</x:v>
      </x:c>
      <x:c r="U742" s="25" t="str">
        <x:v>Completed</x:v>
      </x:c>
      <x:c r="V742" s="29" t="n">
        <x:v>5</x:v>
      </x:c>
    </x:row>
    <x:row r="743">
      <x:c r="A743" s="23" t="str">
        <x:v>MAN-2025-00742</x:v>
      </x:c>
      <x:c r="B743" s="24" t="n">
        <x:v>45945</x:v>
      </x:c>
      <x:c r="C743" s="25" t="str">
        <x:v>Mansoura</x:v>
      </x:c>
      <x:c r="D743" s="25" t="str">
        <x:v>Sherbin</x:v>
      </x:c>
      <x:c r="E743" s="25" t="str">
        <x:v>Ali Sayed</x:v>
      </x:c>
      <x:c r="F743" s="25" t="str">
        <x:v>Omar Fathy</x:v>
      </x:c>
      <x:c r="G743" s="25" t="str">
        <x:v>Consumer</x:v>
      </x:c>
      <x:c r="H743" s="25" t="str">
        <x:v>Mobile App</x:v>
      </x:c>
      <x:c r="I743" s="25" t="str">
        <x:v>Furniture</x:v>
      </x:c>
      <x:c r="J743" s="25" t="str">
        <x:v>Bookshelf</x:v>
      </x:c>
      <x:c r="K743" s="25" t="n">
        <x:v>4</x:v>
      </x:c>
      <x:c r="L743" s="26" t="n">
        <x:v>2958</x:v>
      </x:c>
      <x:c r="M743" s="27" t="n">
        <x:v>0.15</x:v>
      </x:c>
      <x:c r="N743" s="26" t="n">
        <x:f>K743*L743</x:f>
        <x:v>11832</x:v>
      </x:c>
      <x:c r="O743" s="26" t="n">
        <x:f>N743*(1-M743)</x:f>
        <x:v>10057.199999999999</x:v>
      </x:c>
      <x:c r="P743" s="26" t="n">
        <x:v>2238</x:v>
      </x:c>
      <x:c r="Q743" s="26" t="n">
        <x:f>K743*P743</x:f>
        <x:v>8952</x:v>
      </x:c>
      <x:c r="R743" s="26" t="n">
        <x:f>O743-Q743</x:f>
        <x:v>1105.199999999999</x:v>
      </x:c>
      <x:c r="S743" s="28" t="n">
        <x:f>IF(O743=0,0,R743/O743)</x:f>
        <x:v>0.10989142107147108</x:v>
      </x:c>
      <x:c r="T743" s="25" t="str">
        <x:v>Digital Wallet</x:v>
      </x:c>
      <x:c r="U743" s="25" t="str">
        <x:v>Completed</x:v>
      </x:c>
      <x:c r="V743" s="29" t="n">
        <x:v>5</x:v>
      </x:c>
    </x:row>
    <x:row r="744">
      <x:c r="A744" s="23" t="str">
        <x:v>MAN-2025-00743</x:v>
      </x:c>
      <x:c r="B744" s="24" t="n">
        <x:v>45838</x:v>
      </x:c>
      <x:c r="C744" s="25" t="str">
        <x:v>Mansoura</x:v>
      </x:c>
      <x:c r="D744" s="25" t="str">
        <x:v>Aga</x:v>
      </x:c>
      <x:c r="E744" s="25" t="str">
        <x:v>Aya Farouk</x:v>
      </x:c>
      <x:c r="F744" s="25" t="str">
        <x:v>Ali Mansour</x:v>
      </x:c>
      <x:c r="G744" s="25" t="str">
        <x:v>Corporate</x:v>
      </x:c>
      <x:c r="H744" s="25" t="str">
        <x:v>Website</x:v>
      </x:c>
      <x:c r="I744" s="25" t="str">
        <x:v>Home Appliances</x:v>
      </x:c>
      <x:c r="J744" s="25" t="str">
        <x:v>Washing Machine</x:v>
      </x:c>
      <x:c r="K744" s="25" t="n">
        <x:v>3</x:v>
      </x:c>
      <x:c r="L744" s="26" t="n">
        <x:v>16422</x:v>
      </x:c>
      <x:c r="M744" s="27" t="n">
        <x:v>0.05</x:v>
      </x:c>
      <x:c r="N744" s="26" t="n">
        <x:f>K744*L744</x:f>
        <x:v>49266</x:v>
      </x:c>
      <x:c r="O744" s="26" t="n">
        <x:f>N744*(1-M744)</x:f>
        <x:v>46802.7</x:v>
      </x:c>
      <x:c r="P744" s="26" t="n">
        <x:v>13710</x:v>
      </x:c>
      <x:c r="Q744" s="26" t="n">
        <x:f>K744*P744</x:f>
        <x:v>41130</x:v>
      </x:c>
      <x:c r="R744" s="26" t="n">
        <x:f>O744-Q744</x:f>
        <x:v>5672.699999999997</x:v>
      </x:c>
      <x:c r="S744" s="28" t="n">
        <x:f>IF(O744=0,0,R744/O744)</x:f>
        <x:v>0.12120454589158312</x:v>
      </x:c>
      <x:c r="T744" s="25" t="str">
        <x:v>Cash</x:v>
      </x:c>
      <x:c r="U744" s="25" t="str">
        <x:v>Returned</x:v>
      </x:c>
      <x:c r="V744" s="29" t="n">
        <x:v>4</x:v>
      </x:c>
    </x:row>
    <x:row r="745">
      <x:c r="A745" s="23" t="str">
        <x:v>MAN-2025-00744</x:v>
      </x:c>
      <x:c r="B745" s="24" t="n">
        <x:v>45860</x:v>
      </x:c>
      <x:c r="C745" s="25" t="str">
        <x:v>Mansoura</x:v>
      </x:c>
      <x:c r="D745" s="25" t="str">
        <x:v>Aga</x:v>
      </x:c>
      <x:c r="E745" s="25" t="str">
        <x:v>Salma Mansour</x:v>
      </x:c>
      <x:c r="F745" s="25" t="str">
        <x:v>Karim Adel</x:v>
      </x:c>
      <x:c r="G745" s="25" t="str">
        <x:v>Consumer</x:v>
      </x:c>
      <x:c r="H745" s="25" t="str">
        <x:v>Retail Store</x:v>
      </x:c>
      <x:c r="I745" s="25" t="str">
        <x:v>Office Supplies</x:v>
      </x:c>
      <x:c r="J745" s="25" t="str">
        <x:v>Paper Box</x:v>
      </x:c>
      <x:c r="K745" s="25" t="n">
        <x:v>3</x:v>
      </x:c>
      <x:c r="L745" s="26" t="n">
        <x:v>362</x:v>
      </x:c>
      <x:c r="M745" s="27" t="n">
        <x:v>0</x:v>
      </x:c>
      <x:c r="N745" s="26" t="n">
        <x:f>K745*L745</x:f>
        <x:v>1086</x:v>
      </x:c>
      <x:c r="O745" s="26" t="n">
        <x:f>N745*(1-M745)</x:f>
        <x:v>1086</x:v>
      </x:c>
      <x:c r="P745" s="26" t="n">
        <x:v>266</x:v>
      </x:c>
      <x:c r="Q745" s="26" t="n">
        <x:f>K745*P745</x:f>
        <x:v>798</x:v>
      </x:c>
      <x:c r="R745" s="26" t="n">
        <x:f>O745-Q745</x:f>
        <x:v>288</x:v>
      </x:c>
      <x:c r="S745" s="28" t="n">
        <x:f>IF(O745=0,0,R745/O745)</x:f>
        <x:v>0.26519337016574585</x:v>
      </x:c>
      <x:c r="T745" s="25" t="str">
        <x:v>Credit Card</x:v>
      </x:c>
      <x:c r="U745" s="25" t="str">
        <x:v>Completed</x:v>
      </x:c>
      <x:c r="V745" s="29" t="n">
        <x:v>4</x:v>
      </x:c>
    </x:row>
    <x:row r="746">
      <x:c r="A746" s="23" t="str">
        <x:v>MAN-2025-00745</x:v>
      </x:c>
      <x:c r="B746" s="24" t="n">
        <x:v>45663</x:v>
      </x:c>
      <x:c r="C746" s="25" t="str">
        <x:v>Mansoura</x:v>
      </x:c>
      <x:c r="D746" s="25" t="str">
        <x:v>Mit Ghamr</x:v>
      </x:c>
      <x:c r="E746" s="25" t="str">
        <x:v>Ali Sayed</x:v>
      </x:c>
      <x:c r="F746" s="25" t="str">
        <x:v>Karim Tarek</x:v>
      </x:c>
      <x:c r="G746" s="25" t="str">
        <x:v>Consumer</x:v>
      </x:c>
      <x:c r="H746" s="25" t="str">
        <x:v>Phone Order</x:v>
      </x:c>
      <x:c r="I746" s="25" t="str">
        <x:v>Home Appliances</x:v>
      </x:c>
      <x:c r="J746" s="25" t="str">
        <x:v>Microwave</x:v>
      </x:c>
      <x:c r="K746" s="25" t="n">
        <x:v>4</x:v>
      </x:c>
      <x:c r="L746" s="26" t="n">
        <x:v>5298</x:v>
      </x:c>
      <x:c r="M746" s="27" t="n">
        <x:v>0.05</x:v>
      </x:c>
      <x:c r="N746" s="26" t="n">
        <x:f>K746*L746</x:f>
        <x:v>21192</x:v>
      </x:c>
      <x:c r="O746" s="26" t="n">
        <x:f>N746*(1-M746)</x:f>
        <x:v>20132.399999999998</x:v>
      </x:c>
      <x:c r="P746" s="26" t="n">
        <x:v>4492</x:v>
      </x:c>
      <x:c r="Q746" s="26" t="n">
        <x:f>K746*P746</x:f>
        <x:v>17968</x:v>
      </x:c>
      <x:c r="R746" s="26" t="n">
        <x:f>O746-Q746</x:f>
        <x:v>2164.399999999998</x:v>
      </x:c>
      <x:c r="S746" s="28" t="n">
        <x:f>IF(O746=0,0,R746/O746)</x:f>
        <x:v>0.1075082950865271</x:v>
      </x:c>
      <x:c r="T746" s="25" t="str">
        <x:v>Bank Transfer</x:v>
      </x:c>
      <x:c r="U746" s="25" t="str">
        <x:v>Completed</x:v>
      </x:c>
      <x:c r="V746" s="29" t="n">
        <x:v>5</x:v>
      </x:c>
    </x:row>
    <x:row r="747">
      <x:c r="A747" s="23" t="str">
        <x:v>MAN-2025-00746</x:v>
      </x:c>
      <x:c r="B747" s="24" t="n">
        <x:v>45818</x:v>
      </x:c>
      <x:c r="C747" s="25" t="str">
        <x:v>Mansoura</x:v>
      </x:c>
      <x:c r="D747" s="25" t="str">
        <x:v>Mansoura City</x:v>
      </x:c>
      <x:c r="E747" s="25" t="str">
        <x:v>Aya Farouk</x:v>
      </x:c>
      <x:c r="F747" s="25" t="str">
        <x:v>Amr Sayed</x:v>
      </x:c>
      <x:c r="G747" s="25" t="str">
        <x:v>Consumer</x:v>
      </x:c>
      <x:c r="H747" s="25" t="str">
        <x:v>Website</x:v>
      </x:c>
      <x:c r="I747" s="25" t="str">
        <x:v>Home Appliances</x:v>
      </x:c>
      <x:c r="J747" s="25" t="str">
        <x:v>Air Conditioner</x:v>
      </x:c>
      <x:c r="K747" s="25" t="n">
        <x:v>3</x:v>
      </x:c>
      <x:c r="L747" s="26" t="n">
        <x:v>21028</x:v>
      </x:c>
      <x:c r="M747" s="27" t="n">
        <x:v>0.1</x:v>
      </x:c>
      <x:c r="N747" s="26" t="n">
        <x:f>K747*L747</x:f>
        <x:v>63084</x:v>
      </x:c>
      <x:c r="O747" s="26" t="n">
        <x:f>N747*(1-M747)</x:f>
        <x:v>56775.6</x:v>
      </x:c>
      <x:c r="P747" s="26" t="n">
        <x:v>17552</x:v>
      </x:c>
      <x:c r="Q747" s="26" t="n">
        <x:f>K747*P747</x:f>
        <x:v>52656</x:v>
      </x:c>
      <x:c r="R747" s="26" t="n">
        <x:f>O747-Q747</x:f>
        <x:v>4119.5999999999985</x:v>
      </x:c>
      <x:c r="S747" s="28" t="n">
        <x:f>IF(O747=0,0,R747/O747)</x:f>
        <x:v>0.0725593388709234</x:v>
      </x:c>
      <x:c r="T747" s="25" t="str">
        <x:v>Cash</x:v>
      </x:c>
      <x:c r="U747" s="25" t="str">
        <x:v>Completed</x:v>
      </x:c>
      <x:c r="V747" s="29" t="n">
        <x:v>3</x:v>
      </x:c>
    </x:row>
    <x:row r="748">
      <x:c r="A748" s="23" t="str">
        <x:v>MAN-2025-00747</x:v>
      </x:c>
      <x:c r="B748" s="24" t="n">
        <x:v>45771</x:v>
      </x:c>
      <x:c r="C748" s="25" t="str">
        <x:v>Mansoura</x:v>
      </x:c>
      <x:c r="D748" s="25" t="str">
        <x:v>Mansoura City</x:v>
      </x:c>
      <x:c r="E748" s="25" t="str">
        <x:v>Ali Sayed</x:v>
      </x:c>
      <x:c r="F748" s="25" t="str">
        <x:v>Youssef Ibrahim</x:v>
      </x:c>
      <x:c r="G748" s="25" t="str">
        <x:v>Consumer</x:v>
      </x:c>
      <x:c r="H748" s="25" t="str">
        <x:v>Website</x:v>
      </x:c>
      <x:c r="I748" s="25" t="str">
        <x:v>Furniture</x:v>
      </x:c>
      <x:c r="J748" s="25" t="str">
        <x:v>Bookshelf</x:v>
      </x:c>
      <x:c r="K748" s="25" t="n">
        <x:v>2</x:v>
      </x:c>
      <x:c r="L748" s="26" t="n">
        <x:v>2854</x:v>
      </x:c>
      <x:c r="M748" s="27" t="n">
        <x:v>0.1</x:v>
      </x:c>
      <x:c r="N748" s="26" t="n">
        <x:f>K748*L748</x:f>
        <x:v>5708</x:v>
      </x:c>
      <x:c r="O748" s="26" t="n">
        <x:f>N748*(1-M748)</x:f>
        <x:v>5137.2</x:v>
      </x:c>
      <x:c r="P748" s="26" t="n">
        <x:v>2169</x:v>
      </x:c>
      <x:c r="Q748" s="26" t="n">
        <x:f>K748*P748</x:f>
        <x:v>4338</x:v>
      </x:c>
      <x:c r="R748" s="26" t="n">
        <x:f>O748-Q748</x:f>
        <x:v>799.1999999999998</x:v>
      </x:c>
      <x:c r="S748" s="28" t="n">
        <x:f>IF(O748=0,0,R748/O748)</x:f>
        <x:v>0.15557112824106514</x:v>
      </x:c>
      <x:c r="T748" s="25" t="str">
        <x:v>Cash</x:v>
      </x:c>
      <x:c r="U748" s="25" t="str">
        <x:v>Cancelled</x:v>
      </x:c>
      <x:c r="V748" s="29" t="n">
        <x:v>4</x:v>
      </x:c>
    </x:row>
    <x:row r="749">
      <x:c r="A749" s="23" t="str">
        <x:v>MAN-2025-00748</x:v>
      </x:c>
      <x:c r="B749" s="24" t="n">
        <x:v>45732</x:v>
      </x:c>
      <x:c r="C749" s="25" t="str">
        <x:v>Mansoura</x:v>
      </x:c>
      <x:c r="D749" s="25" t="str">
        <x:v>Aga</x:v>
      </x:c>
      <x:c r="E749" s="25" t="str">
        <x:v>Youssef Fathy</x:v>
      </x:c>
      <x:c r="F749" s="25" t="str">
        <x:v>Karim Farouk</x:v>
      </x:c>
      <x:c r="G749" s="25" t="str">
        <x:v>Small Business</x:v>
      </x:c>
      <x:c r="H749" s="25" t="str">
        <x:v>Retail Store</x:v>
      </x:c>
      <x:c r="I749" s="25" t="str">
        <x:v>Furniture</x:v>
      </x:c>
      <x:c r="J749" s="25" t="str">
        <x:v>Desk</x:v>
      </x:c>
      <x:c r="K749" s="25" t="n">
        <x:v>4</x:v>
      </x:c>
      <x:c r="L749" s="26" t="n">
        <x:v>4848</x:v>
      </x:c>
      <x:c r="M749" s="27" t="n">
        <x:v>0.1</x:v>
      </x:c>
      <x:c r="N749" s="26" t="n">
        <x:f>K749*L749</x:f>
        <x:v>19392</x:v>
      </x:c>
      <x:c r="O749" s="26" t="n">
        <x:f>N749*(1-M749)</x:f>
        <x:v>17452.8</x:v>
      </x:c>
      <x:c r="P749" s="26" t="n">
        <x:v>3954</x:v>
      </x:c>
      <x:c r="Q749" s="26" t="n">
        <x:f>K749*P749</x:f>
        <x:v>15816</x:v>
      </x:c>
      <x:c r="R749" s="26" t="n">
        <x:f>O749-Q749</x:f>
        <x:v>1636.7999999999993</x:v>
      </x:c>
      <x:c r="S749" s="28" t="n">
        <x:f>IF(O749=0,0,R749/O749)</x:f>
        <x:v>0.09378437843784375</x:v>
      </x:c>
      <x:c r="T749" s="25" t="str">
        <x:v>Digital Wallet</x:v>
      </x:c>
      <x:c r="U749" s="25" t="str">
        <x:v>Returned</x:v>
      </x:c>
      <x:c r="V749" s="29" t="n">
        <x:v>4</x:v>
      </x:c>
    </x:row>
    <x:row r="750">
      <x:c r="A750" s="23" t="str">
        <x:v>MAN-2025-00749</x:v>
      </x:c>
      <x:c r="B750" s="24" t="n">
        <x:v>45716</x:v>
      </x:c>
      <x:c r="C750" s="25" t="str">
        <x:v>Mansoura</x:v>
      </x:c>
      <x:c r="D750" s="25" t="str">
        <x:v>Aga</x:v>
      </x:c>
      <x:c r="E750" s="25" t="str">
        <x:v>Youssef Fathy</x:v>
      </x:c>
      <x:c r="F750" s="25" t="str">
        <x:v>Ahmed Sayed</x:v>
      </x:c>
      <x:c r="G750" s="25" t="str">
        <x:v>Consumer</x:v>
      </x:c>
      <x:c r="H750" s="25" t="str">
        <x:v>Phone Order</x:v>
      </x:c>
      <x:c r="I750" s="25" t="str">
        <x:v>Office Supplies</x:v>
      </x:c>
      <x:c r="J750" s="25" t="str">
        <x:v>Paper Box</x:v>
      </x:c>
      <x:c r="K750" s="25" t="n">
        <x:v>3</x:v>
      </x:c>
      <x:c r="L750" s="26" t="n">
        <x:v>383</x:v>
      </x:c>
      <x:c r="M750" s="27" t="n">
        <x:v>0</x:v>
      </x:c>
      <x:c r="N750" s="26" t="n">
        <x:f>K750*L750</x:f>
        <x:v>1149</x:v>
      </x:c>
      <x:c r="O750" s="26" t="n">
        <x:f>N750*(1-M750)</x:f>
        <x:v>1149</x:v>
      </x:c>
      <x:c r="P750" s="26" t="n">
        <x:v>269</x:v>
      </x:c>
      <x:c r="Q750" s="26" t="n">
        <x:f>K750*P750</x:f>
        <x:v>807</x:v>
      </x:c>
      <x:c r="R750" s="26" t="n">
        <x:f>O750-Q750</x:f>
        <x:v>342</x:v>
      </x:c>
      <x:c r="S750" s="28" t="n">
        <x:f>IF(O750=0,0,R750/O750)</x:f>
        <x:v>0.29765013054830286</x:v>
      </x:c>
      <x:c r="T750" s="25" t="str">
        <x:v>Cash</x:v>
      </x:c>
      <x:c r="U750" s="25" t="str">
        <x:v>Returned</x:v>
      </x:c>
      <x:c r="V750" s="29" t="n">
        <x:v>4</x:v>
      </x:c>
    </x:row>
    <x:row r="751">
      <x:c r="A751" s="23" t="str">
        <x:v>MAN-2025-00750</x:v>
      </x:c>
      <x:c r="B751" s="24" t="n">
        <x:v>45908</x:v>
      </x:c>
      <x:c r="C751" s="25" t="str">
        <x:v>Mansoura</x:v>
      </x:c>
      <x:c r="D751" s="25" t="str">
        <x:v>Mansoura City</x:v>
      </x:c>
      <x:c r="E751" s="25" t="str">
        <x:v>Salma Mansour</x:v>
      </x:c>
      <x:c r="F751" s="25" t="str">
        <x:v>Aya Samir</x:v>
      </x:c>
      <x:c r="G751" s="25" t="str">
        <x:v>Small Business</x:v>
      </x:c>
      <x:c r="H751" s="25" t="str">
        <x:v>Phone Order</x:v>
      </x:c>
      <x:c r="I751" s="25" t="str">
        <x:v>Electronics</x:v>
      </x:c>
      <x:c r="J751" s="25" t="str">
        <x:v>Smartphone</x:v>
      </x:c>
      <x:c r="K751" s="25" t="n">
        <x:v>6</x:v>
      </x:c>
      <x:c r="L751" s="26" t="n">
        <x:v>13113</x:v>
      </x:c>
      <x:c r="M751" s="27" t="n">
        <x:v>0.1</x:v>
      </x:c>
      <x:c r="N751" s="26" t="n">
        <x:f>K751*L751</x:f>
        <x:v>78678</x:v>
      </x:c>
      <x:c r="O751" s="26" t="n">
        <x:f>N751*(1-M751)</x:f>
        <x:v>70810.2</x:v>
      </x:c>
      <x:c r="P751" s="26" t="n">
        <x:v>10642</x:v>
      </x:c>
      <x:c r="Q751" s="26" t="n">
        <x:f>K751*P751</x:f>
        <x:v>63852</x:v>
      </x:c>
      <x:c r="R751" s="26" t="n">
        <x:f>O751-Q751</x:f>
        <x:v>6958.199999999997</x:v>
      </x:c>
      <x:c r="S751" s="28" t="n">
        <x:f>IF(O751=0,0,R751/O751)</x:f>
        <x:v>0.09826550412228743</x:v>
      </x:c>
      <x:c r="T751" s="25" t="str">
        <x:v>Bank Transfer</x:v>
      </x:c>
      <x:c r="U751" s="25" t="str">
        <x:v>Completed</x:v>
      </x:c>
      <x:c r="V751" s="29" t="n">
        <x:v>4</x:v>
      </x:c>
    </x:row>
    <x:row r="752">
      <x:c r="A752" s="23" t="str">
        <x:v>MAN-2025-00751</x:v>
      </x:c>
      <x:c r="B752" s="24" t="n">
        <x:v>45899</x:v>
      </x:c>
      <x:c r="C752" s="25" t="str">
        <x:v>Mansoura</x:v>
      </x:c>
      <x:c r="D752" s="25" t="str">
        <x:v>Talkha</x:v>
      </x:c>
      <x:c r="E752" s="25" t="str">
        <x:v>Youssef Fathy</x:v>
      </x:c>
      <x:c r="F752" s="25" t="str">
        <x:v>Ali Adel</x:v>
      </x:c>
      <x:c r="G752" s="25" t="str">
        <x:v>Consumer</x:v>
      </x:c>
      <x:c r="H752" s="25" t="str">
        <x:v>Website</x:v>
      </x:c>
      <x:c r="I752" s="25" t="str">
        <x:v>Home Appliances</x:v>
      </x:c>
      <x:c r="J752" s="25" t="str">
        <x:v>Air Conditioner</x:v>
      </x:c>
      <x:c r="K752" s="25" t="n">
        <x:v>3</x:v>
      </x:c>
      <x:c r="L752" s="26" t="n">
        <x:v>19705</x:v>
      </x:c>
      <x:c r="M752" s="27" t="n">
        <x:v>0.05</x:v>
      </x:c>
      <x:c r="N752" s="26" t="n">
        <x:f>K752*L752</x:f>
        <x:v>59115</x:v>
      </x:c>
      <x:c r="O752" s="26" t="n">
        <x:f>N752*(1-M752)</x:f>
        <x:v>56159.25</x:v>
      </x:c>
      <x:c r="P752" s="26" t="n">
        <x:v>17236</x:v>
      </x:c>
      <x:c r="Q752" s="26" t="n">
        <x:f>K752*P752</x:f>
        <x:v>51708</x:v>
      </x:c>
      <x:c r="R752" s="26" t="n">
        <x:f>O752-Q752</x:f>
        <x:v>4451.25</x:v>
      </x:c>
      <x:c r="S752" s="28" t="n">
        <x:f>IF(O752=0,0,R752/O752)</x:f>
        <x:v>0.0792612080823729</x:v>
      </x:c>
      <x:c r="T752" s="25" t="str">
        <x:v>Bank Transfer</x:v>
      </x:c>
      <x:c r="U752" s="25" t="str">
        <x:v>Cancelled</x:v>
      </x:c>
      <x:c r="V752" s="29" t="n">
        <x:v>5</x:v>
      </x:c>
    </x:row>
    <x:row r="753">
      <x:c r="A753" s="23" t="str">
        <x:v>MAN-2025-00752</x:v>
      </x:c>
      <x:c r="B753" s="24" t="n">
        <x:v>45835</x:v>
      </x:c>
      <x:c r="C753" s="25" t="str">
        <x:v>Mansoura</x:v>
      </x:c>
      <x:c r="D753" s="25" t="str">
        <x:v>Mansoura City</x:v>
      </x:c>
      <x:c r="E753" s="25" t="str">
        <x:v>Youssef Fathy</x:v>
      </x:c>
      <x:c r="F753" s="25" t="str">
        <x:v>Karim Tarek</x:v>
      </x:c>
      <x:c r="G753" s="25" t="str">
        <x:v>Corporate</x:v>
      </x:c>
      <x:c r="H753" s="25" t="str">
        <x:v>Phone Order</x:v>
      </x:c>
      <x:c r="I753" s="25" t="str">
        <x:v>Office Supplies</x:v>
      </x:c>
      <x:c r="J753" s="25" t="str">
        <x:v>Ink Cartridge</x:v>
      </x:c>
      <x:c r="K753" s="25" t="n">
        <x:v>1</x:v>
      </x:c>
      <x:c r="L753" s="26" t="n">
        <x:v>837</x:v>
      </x:c>
      <x:c r="M753" s="27" t="n">
        <x:v>0</x:v>
      </x:c>
      <x:c r="N753" s="26" t="n">
        <x:f>K753*L753</x:f>
        <x:v>837</x:v>
      </x:c>
      <x:c r="O753" s="26" t="n">
        <x:f>N753*(1-M753)</x:f>
        <x:v>837</x:v>
      </x:c>
      <x:c r="P753" s="26" t="n">
        <x:v>573</x:v>
      </x:c>
      <x:c r="Q753" s="26" t="n">
        <x:f>K753*P753</x:f>
        <x:v>573</x:v>
      </x:c>
      <x:c r="R753" s="26" t="n">
        <x:f>O753-Q753</x:f>
        <x:v>264</x:v>
      </x:c>
      <x:c r="S753" s="28" t="n">
        <x:f>IF(O753=0,0,R753/O753)</x:f>
        <x:v>0.3154121863799283</x:v>
      </x:c>
      <x:c r="T753" s="25" t="str">
        <x:v>Cash</x:v>
      </x:c>
      <x:c r="U753" s="25" t="str">
        <x:v>Completed</x:v>
      </x:c>
      <x:c r="V753" s="29" t="n">
        <x:v>5</x:v>
      </x:c>
    </x:row>
    <x:row r="754">
      <x:c r="A754" s="23" t="str">
        <x:v>MAN-2025-00753</x:v>
      </x:c>
      <x:c r="B754" s="24" t="n">
        <x:v>45696</x:v>
      </x:c>
      <x:c r="C754" s="25" t="str">
        <x:v>Mansoura</x:v>
      </x:c>
      <x:c r="D754" s="25" t="str">
        <x:v>Aga</x:v>
      </x:c>
      <x:c r="E754" s="25" t="str">
        <x:v>Ali Sayed</x:v>
      </x:c>
      <x:c r="F754" s="25" t="str">
        <x:v>Mahmoud Samir</x:v>
      </x:c>
      <x:c r="G754" s="25" t="str">
        <x:v>Small Business</x:v>
      </x:c>
      <x:c r="H754" s="25" t="str">
        <x:v>Phone Order</x:v>
      </x:c>
      <x:c r="I754" s="25" t="str">
        <x:v>Electronics</x:v>
      </x:c>
      <x:c r="J754" s="25" t="str">
        <x:v>Laptop</x:v>
      </x:c>
      <x:c r="K754" s="25" t="n">
        <x:v>6</x:v>
      </x:c>
      <x:c r="L754" s="26" t="n">
        <x:v>23346</x:v>
      </x:c>
      <x:c r="M754" s="27" t="n">
        <x:v>0</x:v>
      </x:c>
      <x:c r="N754" s="26" t="n">
        <x:f>K754*L754</x:f>
        <x:v>140076</x:v>
      </x:c>
      <x:c r="O754" s="26" t="n">
        <x:f>N754*(1-M754)</x:f>
        <x:v>140076</x:v>
      </x:c>
      <x:c r="P754" s="26" t="n">
        <x:v>21910</x:v>
      </x:c>
      <x:c r="Q754" s="26" t="n">
        <x:f>K754*P754</x:f>
        <x:v>131460</x:v>
      </x:c>
      <x:c r="R754" s="26" t="n">
        <x:f>O754-Q754</x:f>
        <x:v>8616</x:v>
      </x:c>
      <x:c r="S754" s="28" t="n">
        <x:f>IF(O754=0,0,R754/O754)</x:f>
        <x:v>0.061509466289728434</x:v>
      </x:c>
      <x:c r="T754" s="25" t="str">
        <x:v>Digital Wallet</x:v>
      </x:c>
      <x:c r="U754" s="25" t="str">
        <x:v>Completed</x:v>
      </x:c>
      <x:c r="V754" s="29" t="n">
        <x:v>5</x:v>
      </x:c>
    </x:row>
    <x:row r="755">
      <x:c r="A755" s="23" t="str">
        <x:v>MAN-2025-00754</x:v>
      </x:c>
      <x:c r="B755" s="24" t="n">
        <x:v>45715</x:v>
      </x:c>
      <x:c r="C755" s="25" t="str">
        <x:v>Mansoura</x:v>
      </x:c>
      <x:c r="D755" s="25" t="str">
        <x:v>Sherbin</x:v>
      </x:c>
      <x:c r="E755" s="25" t="str">
        <x:v>Salma Mansour</x:v>
      </x:c>
      <x:c r="F755" s="25" t="str">
        <x:v>Ali Samir</x:v>
      </x:c>
      <x:c r="G755" s="25" t="str">
        <x:v>Consumer</x:v>
      </x:c>
      <x:c r="H755" s="25" t="str">
        <x:v>Retail Store</x:v>
      </x:c>
      <x:c r="I755" s="25" t="str">
        <x:v>Electronics</x:v>
      </x:c>
      <x:c r="J755" s="25" t="str">
        <x:v>Laptop</x:v>
      </x:c>
      <x:c r="K755" s="25" t="n">
        <x:v>3</x:v>
      </x:c>
      <x:c r="L755" s="26" t="n">
        <x:v>23603</x:v>
      </x:c>
      <x:c r="M755" s="27" t="n">
        <x:v>0.15</x:v>
      </x:c>
      <x:c r="N755" s="26" t="n">
        <x:f>K755*L755</x:f>
        <x:v>70809</x:v>
      </x:c>
      <x:c r="O755" s="26" t="n">
        <x:f>N755*(1-M755)</x:f>
        <x:v>60187.65</x:v>
      </x:c>
      <x:c r="P755" s="26" t="n">
        <x:v>21378</x:v>
      </x:c>
      <x:c r="Q755" s="26" t="n">
        <x:f>K755*P755</x:f>
        <x:v>64134</x:v>
      </x:c>
      <x:c r="R755" s="26" t="n">
        <x:f>O755-Q755</x:f>
        <x:v>-3946.3499999999985</x:v>
      </x:c>
      <x:c r="S755" s="28" t="n">
        <x:f>IF(O755=0,0,R755/O755)</x:f>
        <x:v>-0.06556743783816113</x:v>
      </x:c>
      <x:c r="T755" s="25" t="str">
        <x:v>Digital Wallet</x:v>
      </x:c>
      <x:c r="U755" s="25" t="str">
        <x:v>Returned</x:v>
      </x:c>
      <x:c r="V755" s="29" t="n">
        <x:v>5</x:v>
      </x:c>
    </x:row>
    <x:row r="756">
      <x:c r="A756" s="23" t="str">
        <x:v>MAN-2025-00755</x:v>
      </x:c>
      <x:c r="B756" s="24" t="n">
        <x:v>45726</x:v>
      </x:c>
      <x:c r="C756" s="25" t="str">
        <x:v>Mansoura</x:v>
      </x:c>
      <x:c r="D756" s="25" t="str">
        <x:v>Mansoura City</x:v>
      </x:c>
      <x:c r="E756" s="25" t="str">
        <x:v>Aya Farouk</x:v>
      </x:c>
      <x:c r="F756" s="25" t="str">
        <x:v>Nour Hassan</x:v>
      </x:c>
      <x:c r="G756" s="25" t="str">
        <x:v>Consumer</x:v>
      </x:c>
      <x:c r="H756" s="25" t="str">
        <x:v>Phone Order</x:v>
      </x:c>
      <x:c r="I756" s="25" t="str">
        <x:v>Electronics</x:v>
      </x:c>
      <x:c r="J756" s="25" t="str">
        <x:v>Smartphone</x:v>
      </x:c>
      <x:c r="K756" s="25" t="n">
        <x:v>5</x:v>
      </x:c>
      <x:c r="L756" s="26" t="n">
        <x:v>12843</x:v>
      </x:c>
      <x:c r="M756" s="27" t="n">
        <x:v>0.05</x:v>
      </x:c>
      <x:c r="N756" s="26" t="n">
        <x:f>K756*L756</x:f>
        <x:v>64215</x:v>
      </x:c>
      <x:c r="O756" s="26" t="n">
        <x:f>N756*(1-M756)</x:f>
        <x:v>61004.25</x:v>
      </x:c>
      <x:c r="P756" s="26" t="n">
        <x:v>10568</x:v>
      </x:c>
      <x:c r="Q756" s="26" t="n">
        <x:f>K756*P756</x:f>
        <x:v>52840</x:v>
      </x:c>
      <x:c r="R756" s="26" t="n">
        <x:f>O756-Q756</x:f>
        <x:v>8164.25</x:v>
      </x:c>
      <x:c r="S756" s="28" t="n">
        <x:f>IF(O756=0,0,R756/O756)</x:f>
        <x:v>0.13383083965461423</x:v>
      </x:c>
      <x:c r="T756" s="25" t="str">
        <x:v>Cash</x:v>
      </x:c>
      <x:c r="U756" s="25" t="str">
        <x:v>Completed</x:v>
      </x:c>
      <x:c r="V756" s="29" t="n">
        <x:v>3</x:v>
      </x:c>
    </x:row>
    <x:row r="757">
      <x:c r="A757" s="23" t="str">
        <x:v>MAN-2025-00756</x:v>
      </x:c>
      <x:c r="B757" s="24" t="n">
        <x:v>45679</x:v>
      </x:c>
      <x:c r="C757" s="25" t="str">
        <x:v>Mansoura</x:v>
      </x:c>
      <x:c r="D757" s="25" t="str">
        <x:v>Aga</x:v>
      </x:c>
      <x:c r="E757" s="25" t="str">
        <x:v>Ali Sayed</x:v>
      </x:c>
      <x:c r="F757" s="25" t="str">
        <x:v>Hana Nasser</x:v>
      </x:c>
      <x:c r="G757" s="25" t="str">
        <x:v>Small Business</x:v>
      </x:c>
      <x:c r="H757" s="25" t="str">
        <x:v>Mobile App</x:v>
      </x:c>
      <x:c r="I757" s="25" t="str">
        <x:v>Office Supplies</x:v>
      </x:c>
      <x:c r="J757" s="25" t="str">
        <x:v>Printer</x:v>
      </x:c>
      <x:c r="K757" s="25" t="n">
        <x:v>3</x:v>
      </x:c>
      <x:c r="L757" s="26" t="n">
        <x:v>6459</x:v>
      </x:c>
      <x:c r="M757" s="27" t="n">
        <x:v>0</x:v>
      </x:c>
      <x:c r="N757" s="26" t="n">
        <x:f>K757*L757</x:f>
        <x:v>19377</x:v>
      </x:c>
      <x:c r="O757" s="26" t="n">
        <x:f>N757*(1-M757)</x:f>
        <x:v>19377</x:v>
      </x:c>
      <x:c r="P757" s="26" t="n">
        <x:v>5396</x:v>
      </x:c>
      <x:c r="Q757" s="26" t="n">
        <x:f>K757*P757</x:f>
        <x:v>16188</x:v>
      </x:c>
      <x:c r="R757" s="26" t="n">
        <x:f>O757-Q757</x:f>
        <x:v>3189</x:v>
      </x:c>
      <x:c r="S757" s="28" t="n">
        <x:f>IF(O757=0,0,R757/O757)</x:f>
        <x:v>0.16457655983898437</x:v>
      </x:c>
      <x:c r="T757" s="25" t="str">
        <x:v>Digital Wallet</x:v>
      </x:c>
      <x:c r="U757" s="25" t="str">
        <x:v>Returned</x:v>
      </x:c>
      <x:c r="V757" s="29" t="n">
        <x:v>4</x:v>
      </x:c>
    </x:row>
    <x:row r="758">
      <x:c r="A758" s="23" t="str">
        <x:v>MAN-2025-00757</x:v>
      </x:c>
      <x:c r="B758" s="24" t="n">
        <x:v>45681</x:v>
      </x:c>
      <x:c r="C758" s="25" t="str">
        <x:v>Mansoura</x:v>
      </x:c>
      <x:c r="D758" s="25" t="str">
        <x:v>Mit Ghamr</x:v>
      </x:c>
      <x:c r="E758" s="25" t="str">
        <x:v>Ali Sayed</x:v>
      </x:c>
      <x:c r="F758" s="25" t="str">
        <x:v>Ali Adel</x:v>
      </x:c>
      <x:c r="G758" s="25" t="str">
        <x:v>Consumer</x:v>
      </x:c>
      <x:c r="H758" s="25" t="str">
        <x:v>Phone Order</x:v>
      </x:c>
      <x:c r="I758" s="25" t="str">
        <x:v>Office Supplies</x:v>
      </x:c>
      <x:c r="J758" s="25" t="str">
        <x:v>Calculator</x:v>
      </x:c>
      <x:c r="K758" s="25" t="n">
        <x:v>2</x:v>
      </x:c>
      <x:c r="L758" s="26" t="n">
        <x:v>436</x:v>
      </x:c>
      <x:c r="M758" s="27" t="n">
        <x:v>0.1</x:v>
      </x:c>
      <x:c r="N758" s="26" t="n">
        <x:f>K758*L758</x:f>
        <x:v>872</x:v>
      </x:c>
      <x:c r="O758" s="26" t="n">
        <x:f>N758*(1-M758)</x:f>
        <x:v>784.8000000000001</x:v>
      </x:c>
      <x:c r="P758" s="26" t="n">
        <x:v>282</x:v>
      </x:c>
      <x:c r="Q758" s="26" t="n">
        <x:f>K758*P758</x:f>
        <x:v>564</x:v>
      </x:c>
      <x:c r="R758" s="26" t="n">
        <x:f>O758-Q758</x:f>
        <x:v>220.80000000000007</x:v>
      </x:c>
      <x:c r="S758" s="28" t="n">
        <x:f>IF(O758=0,0,R758/O758)</x:f>
        <x:v>0.2813455657492355</x:v>
      </x:c>
      <x:c r="T758" s="25" t="str">
        <x:v>Debit Card</x:v>
      </x:c>
      <x:c r="U758" s="25" t="str">
        <x:v>Completed</x:v>
      </x:c>
      <x:c r="V758" s="29" t="n">
        <x:v>4</x:v>
      </x:c>
    </x:row>
    <x:row r="759">
      <x:c r="A759" s="23" t="str">
        <x:v>MAN-2025-00758</x:v>
      </x:c>
      <x:c r="B759" s="24" t="n">
        <x:v>46012</x:v>
      </x:c>
      <x:c r="C759" s="25" t="str">
        <x:v>Mansoura</x:v>
      </x:c>
      <x:c r="D759" s="25" t="str">
        <x:v>Talkha</x:v>
      </x:c>
      <x:c r="E759" s="25" t="str">
        <x:v>Youssef Fathy</x:v>
      </x:c>
      <x:c r="F759" s="25" t="str">
        <x:v>Amr Adel</x:v>
      </x:c>
      <x:c r="G759" s="25" t="str">
        <x:v>Corporate</x:v>
      </x:c>
      <x:c r="H759" s="25" t="str">
        <x:v>Retail Store</x:v>
      </x:c>
      <x:c r="I759" s="25" t="str">
        <x:v>Office Supplies</x:v>
      </x:c>
      <x:c r="J759" s="25" t="str">
        <x:v>Paper Box</x:v>
      </x:c>
      <x:c r="K759" s="25" t="n">
        <x:v>4</x:v>
      </x:c>
      <x:c r="L759" s="26" t="n">
        <x:v>371</x:v>
      </x:c>
      <x:c r="M759" s="27" t="n">
        <x:v>0</x:v>
      </x:c>
      <x:c r="N759" s="26" t="n">
        <x:f>K759*L759</x:f>
        <x:v>1484</x:v>
      </x:c>
      <x:c r="O759" s="26" t="n">
        <x:f>N759*(1-M759)</x:f>
        <x:v>1484</x:v>
      </x:c>
      <x:c r="P759" s="26" t="n">
        <x:v>255</x:v>
      </x:c>
      <x:c r="Q759" s="26" t="n">
        <x:f>K759*P759</x:f>
        <x:v>1020</x:v>
      </x:c>
      <x:c r="R759" s="26" t="n">
        <x:f>O759-Q759</x:f>
        <x:v>464</x:v>
      </x:c>
      <x:c r="S759" s="28" t="n">
        <x:f>IF(O759=0,0,R759/O759)</x:f>
        <x:v>0.31266846361185985</x:v>
      </x:c>
      <x:c r="T759" s="25" t="str">
        <x:v>Debit Card</x:v>
      </x:c>
      <x:c r="U759" s="25" t="str">
        <x:v>Completed</x:v>
      </x:c>
      <x:c r="V759" s="29" t="n">
        <x:v>4</x:v>
      </x:c>
    </x:row>
    <x:row r="760">
      <x:c r="A760" s="23" t="str">
        <x:v>MAN-2025-00759</x:v>
      </x:c>
      <x:c r="B760" s="24" t="n">
        <x:v>45676</x:v>
      </x:c>
      <x:c r="C760" s="25" t="str">
        <x:v>Mansoura</x:v>
      </x:c>
      <x:c r="D760" s="25" t="str">
        <x:v>Sherbin</x:v>
      </x:c>
      <x:c r="E760" s="25" t="str">
        <x:v>Aya Farouk</x:v>
      </x:c>
      <x:c r="F760" s="25" t="str">
        <x:v>Omar Farouk</x:v>
      </x:c>
      <x:c r="G760" s="25" t="str">
        <x:v>Corporate</x:v>
      </x:c>
      <x:c r="H760" s="25" t="str">
        <x:v>Website</x:v>
      </x:c>
      <x:c r="I760" s="25" t="str">
        <x:v>Home Appliances</x:v>
      </x:c>
      <x:c r="J760" s="25" t="str">
        <x:v>Microwave</x:v>
      </x:c>
      <x:c r="K760" s="25" t="n">
        <x:v>4</x:v>
      </x:c>
      <x:c r="L760" s="26" t="n">
        <x:v>5673</x:v>
      </x:c>
      <x:c r="M760" s="27" t="n">
        <x:v>0.05</x:v>
      </x:c>
      <x:c r="N760" s="26" t="n">
        <x:f>K760*L760</x:f>
        <x:v>22692</x:v>
      </x:c>
      <x:c r="O760" s="26" t="n">
        <x:f>N760*(1-M760)</x:f>
        <x:v>21557.399999999998</x:v>
      </x:c>
      <x:c r="P760" s="26" t="n">
        <x:v>4431</x:v>
      </x:c>
      <x:c r="Q760" s="26" t="n">
        <x:f>K760*P760</x:f>
        <x:v>17724</x:v>
      </x:c>
      <x:c r="R760" s="26" t="n">
        <x:f>O760-Q760</x:f>
        <x:v>3833.399999999998</x:v>
      </x:c>
      <x:c r="S760" s="28" t="n">
        <x:f>IF(O760=0,0,R760/O760)</x:f>
        <x:v>0.17782292855353607</x:v>
      </x:c>
      <x:c r="T760" s="25" t="str">
        <x:v>Bank Transfer</x:v>
      </x:c>
      <x:c r="U760" s="25" t="str">
        <x:v>Completed</x:v>
      </x:c>
      <x:c r="V760" s="29" t="n">
        <x:v>4</x:v>
      </x:c>
    </x:row>
    <x:row r="761">
      <x:c r="A761" s="23" t="str">
        <x:v>MAN-2025-00760</x:v>
      </x:c>
      <x:c r="B761" s="24" t="n">
        <x:v>45807</x:v>
      </x:c>
      <x:c r="C761" s="25" t="str">
        <x:v>Mansoura</x:v>
      </x:c>
      <x:c r="D761" s="25" t="str">
        <x:v>Mansoura City</x:v>
      </x:c>
      <x:c r="E761" s="25" t="str">
        <x:v>Ali Sayed</x:v>
      </x:c>
      <x:c r="F761" s="25" t="str">
        <x:v>Amr Hassan</x:v>
      </x:c>
      <x:c r="G761" s="25" t="str">
        <x:v>Corporate</x:v>
      </x:c>
      <x:c r="H761" s="25" t="str">
        <x:v>Mobile App</x:v>
      </x:c>
      <x:c r="I761" s="25" t="str">
        <x:v>Home Appliances</x:v>
      </x:c>
      <x:c r="J761" s="25" t="str">
        <x:v>Blender</x:v>
      </x:c>
      <x:c r="K761" s="25" t="n">
        <x:v>4</x:v>
      </x:c>
      <x:c r="L761" s="26" t="n">
        <x:v>1733</x:v>
      </x:c>
      <x:c r="M761" s="27" t="n">
        <x:v>0.1</x:v>
      </x:c>
      <x:c r="N761" s="26" t="n">
        <x:f>K761*L761</x:f>
        <x:v>6932</x:v>
      </x:c>
      <x:c r="O761" s="26" t="n">
        <x:f>N761*(1-M761)</x:f>
        <x:v>6238.8</x:v>
      </x:c>
      <x:c r="P761" s="26" t="n">
        <x:v>1232</x:v>
      </x:c>
      <x:c r="Q761" s="26" t="n">
        <x:f>K761*P761</x:f>
        <x:v>4928</x:v>
      </x:c>
      <x:c r="R761" s="26" t="n">
        <x:f>O761-Q761</x:f>
        <x:v>1310.8000000000002</x:v>
      </x:c>
      <x:c r="S761" s="28" t="n">
        <x:f>IF(O761=0,0,R761/O761)</x:f>
        <x:v>0.21010450727704047</x:v>
      </x:c>
      <x:c r="T761" s="25" t="str">
        <x:v>Credit Card</x:v>
      </x:c>
      <x:c r="U761" s="25" t="str">
        <x:v>Completed</x:v>
      </x:c>
      <x:c r="V761" s="29" t="n">
        <x:v>4</x:v>
      </x:c>
    </x:row>
    <x:row r="762">
      <x:c r="A762" s="23" t="str">
        <x:v>MAN-2025-00761</x:v>
      </x:c>
      <x:c r="B762" s="24" t="n">
        <x:v>45852</x:v>
      </x:c>
      <x:c r="C762" s="25" t="str">
        <x:v>Mansoura</x:v>
      </x:c>
      <x:c r="D762" s="25" t="str">
        <x:v>Mit Ghamr</x:v>
      </x:c>
      <x:c r="E762" s="25" t="str">
        <x:v>Youssef Fathy</x:v>
      </x:c>
      <x:c r="F762" s="25" t="str">
        <x:v>Nour Ibrahim</x:v>
      </x:c>
      <x:c r="G762" s="25" t="str">
        <x:v>Corporate</x:v>
      </x:c>
      <x:c r="H762" s="25" t="str">
        <x:v>Retail Store</x:v>
      </x:c>
      <x:c r="I762" s="25" t="str">
        <x:v>Home Appliances</x:v>
      </x:c>
      <x:c r="J762" s="25" t="str">
        <x:v>Air Conditioner</x:v>
      </x:c>
      <x:c r="K762" s="25" t="n">
        <x:v>5</x:v>
      </x:c>
      <x:c r="L762" s="26" t="n">
        <x:v>21698</x:v>
      </x:c>
      <x:c r="M762" s="27" t="n">
        <x:v>0</x:v>
      </x:c>
      <x:c r="N762" s="26" t="n">
        <x:f>K762*L762</x:f>
        <x:v>108490</x:v>
      </x:c>
      <x:c r="O762" s="26" t="n">
        <x:f>N762*(1-M762)</x:f>
        <x:v>108490</x:v>
      </x:c>
      <x:c r="P762" s="26" t="n">
        <x:v>17579</x:v>
      </x:c>
      <x:c r="Q762" s="26" t="n">
        <x:f>K762*P762</x:f>
        <x:v>87895</x:v>
      </x:c>
      <x:c r="R762" s="26" t="n">
        <x:f>O762-Q762</x:f>
        <x:v>20595</x:v>
      </x:c>
      <x:c r="S762" s="28" t="n">
        <x:f>IF(O762=0,0,R762/O762)</x:f>
        <x:v>0.18983316434694442</x:v>
      </x:c>
      <x:c r="T762" s="25" t="str">
        <x:v>Credit Card</x:v>
      </x:c>
      <x:c r="U762" s="25" t="str">
        <x:v>Returned</x:v>
      </x:c>
      <x:c r="V762" s="29" t="n">
        <x:v>5</x:v>
      </x:c>
    </x:row>
    <x:row r="763">
      <x:c r="A763" s="23" t="str">
        <x:v>MAN-2025-00762</x:v>
      </x:c>
      <x:c r="B763" s="24" t="n">
        <x:v>45767</x:v>
      </x:c>
      <x:c r="C763" s="25" t="str">
        <x:v>Mansoura</x:v>
      </x:c>
      <x:c r="D763" s="25" t="str">
        <x:v>Talkha</x:v>
      </x:c>
      <x:c r="E763" s="25" t="str">
        <x:v>Salma Mansour</x:v>
      </x:c>
      <x:c r="F763" s="25" t="str">
        <x:v>Farah Gamal</x:v>
      </x:c>
      <x:c r="G763" s="25" t="str">
        <x:v>Small Business</x:v>
      </x:c>
      <x:c r="H763" s="25" t="str">
        <x:v>Retail Store</x:v>
      </x:c>
      <x:c r="I763" s="25" t="str">
        <x:v>Office Supplies</x:v>
      </x:c>
      <x:c r="J763" s="25" t="str">
        <x:v>Calculator</x:v>
      </x:c>
      <x:c r="K763" s="25" t="n">
        <x:v>3</x:v>
      </x:c>
      <x:c r="L763" s="26" t="n">
        <x:v>414</x:v>
      </x:c>
      <x:c r="M763" s="27" t="n">
        <x:v>0</x:v>
      </x:c>
      <x:c r="N763" s="26" t="n">
        <x:f>K763*L763</x:f>
        <x:v>1242</x:v>
      </x:c>
      <x:c r="O763" s="26" t="n">
        <x:f>N763*(1-M763)</x:f>
        <x:v>1242</x:v>
      </x:c>
      <x:c r="P763" s="26" t="n">
        <x:v>279</x:v>
      </x:c>
      <x:c r="Q763" s="26" t="n">
        <x:f>K763*P763</x:f>
        <x:v>837</x:v>
      </x:c>
      <x:c r="R763" s="26" t="n">
        <x:f>O763-Q763</x:f>
        <x:v>405</x:v>
      </x:c>
      <x:c r="S763" s="28" t="n">
        <x:f>IF(O763=0,0,R763/O763)</x:f>
        <x:v>0.32608695652173914</x:v>
      </x:c>
      <x:c r="T763" s="25" t="str">
        <x:v>Credit Card</x:v>
      </x:c>
      <x:c r="U763" s="25" t="str">
        <x:v>Completed</x:v>
      </x:c>
      <x:c r="V763" s="29" t="n">
        <x:v>4</x:v>
      </x:c>
    </x:row>
    <x:row r="764">
      <x:c r="A764" s="23" t="str">
        <x:v>MAN-2025-00763</x:v>
      </x:c>
      <x:c r="B764" s="24" t="n">
        <x:v>45919</x:v>
      </x:c>
      <x:c r="C764" s="25" t="str">
        <x:v>Mansoura</x:v>
      </x:c>
      <x:c r="D764" s="25" t="str">
        <x:v>Sherbin</x:v>
      </x:c>
      <x:c r="E764" s="25" t="str">
        <x:v>Aya Farouk</x:v>
      </x:c>
      <x:c r="F764" s="25" t="str">
        <x:v>Amr Gamal</x:v>
      </x:c>
      <x:c r="G764" s="25" t="str">
        <x:v>Small Business</x:v>
      </x:c>
      <x:c r="H764" s="25" t="str">
        <x:v>Phone Order</x:v>
      </x:c>
      <x:c r="I764" s="25" t="str">
        <x:v>Furniture</x:v>
      </x:c>
      <x:c r="J764" s="25" t="str">
        <x:v>Bookshelf</x:v>
      </x:c>
      <x:c r="K764" s="25" t="n">
        <x:v>6</x:v>
      </x:c>
      <x:c r="L764" s="26" t="n">
        <x:v>3043</x:v>
      </x:c>
      <x:c r="M764" s="27" t="n">
        <x:v>0.1</x:v>
      </x:c>
      <x:c r="N764" s="26" t="n">
        <x:f>K764*L764</x:f>
        <x:v>18258</x:v>
      </x:c>
      <x:c r="O764" s="26" t="n">
        <x:f>N764*(1-M764)</x:f>
        <x:v>16432.2</x:v>
      </x:c>
      <x:c r="P764" s="26" t="n">
        <x:v>2275</x:v>
      </x:c>
      <x:c r="Q764" s="26" t="n">
        <x:f>K764*P764</x:f>
        <x:v>13650</x:v>
      </x:c>
      <x:c r="R764" s="26" t="n">
        <x:f>O764-Q764</x:f>
        <x:v>2782.2000000000007</x:v>
      </x:c>
      <x:c r="S764" s="28" t="n">
        <x:f>IF(O764=0,0,R764/O764)</x:f>
        <x:v>0.16931390805856797</x:v>
      </x:c>
      <x:c r="T764" s="25" t="str">
        <x:v>Digital Wallet</x:v>
      </x:c>
      <x:c r="U764" s="25" t="str">
        <x:v>Completed</x:v>
      </x:c>
      <x:c r="V764" s="29" t="n">
        <x:v>5</x:v>
      </x:c>
    </x:row>
    <x:row r="765">
      <x:c r="A765" s="23" t="str">
        <x:v>MAN-2025-00764</x:v>
      </x:c>
      <x:c r="B765" s="24" t="n">
        <x:v>45991</x:v>
      </x:c>
      <x:c r="C765" s="25" t="str">
        <x:v>Mansoura</x:v>
      </x:c>
      <x:c r="D765" s="25" t="str">
        <x:v>Talkha</x:v>
      </x:c>
      <x:c r="E765" s="25" t="str">
        <x:v>Youssef Fathy</x:v>
      </x:c>
      <x:c r="F765" s="25" t="str">
        <x:v>Mahmoud Farouk</x:v>
      </x:c>
      <x:c r="G765" s="25" t="str">
        <x:v>Small Business</x:v>
      </x:c>
      <x:c r="H765" s="25" t="str">
        <x:v>Mobile App</x:v>
      </x:c>
      <x:c r="I765" s="25" t="str">
        <x:v>Furniture</x:v>
      </x:c>
      <x:c r="J765" s="25" t="str">
        <x:v>Sofa</x:v>
      </x:c>
      <x:c r="K765" s="25" t="n">
        <x:v>1</x:v>
      </x:c>
      <x:c r="L765" s="26" t="n">
        <x:v>12641</x:v>
      </x:c>
      <x:c r="M765" s="27" t="n">
        <x:v>0.05</x:v>
      </x:c>
      <x:c r="N765" s="26" t="n">
        <x:f>K765*L765</x:f>
        <x:v>12641</x:v>
      </x:c>
      <x:c r="O765" s="26" t="n">
        <x:f>N765*(1-M765)</x:f>
        <x:v>12008.949999999999</x:v>
      </x:c>
      <x:c r="P765" s="26" t="n">
        <x:v>10857</x:v>
      </x:c>
      <x:c r="Q765" s="26" t="n">
        <x:f>K765*P765</x:f>
        <x:v>10857</x:v>
      </x:c>
      <x:c r="R765" s="26" t="n">
        <x:f>O765-Q765</x:f>
        <x:v>1151.949999999999</x:v>
      </x:c>
      <x:c r="S765" s="28" t="n">
        <x:f>IF(O765=0,0,R765/O765)</x:f>
        <x:v>0.0959242898005237</x:v>
      </x:c>
      <x:c r="T765" s="25" t="str">
        <x:v>Debit Card</x:v>
      </x:c>
      <x:c r="U765" s="25" t="str">
        <x:v>Completed</x:v>
      </x:c>
      <x:c r="V765" s="29" t="n">
        <x:v>5</x:v>
      </x:c>
    </x:row>
    <x:row r="766">
      <x:c r="A766" s="23" t="str">
        <x:v>MAN-2025-00765</x:v>
      </x:c>
      <x:c r="B766" s="24" t="n">
        <x:v>45787</x:v>
      </x:c>
      <x:c r="C766" s="25" t="str">
        <x:v>Mansoura</x:v>
      </x:c>
      <x:c r="D766" s="25" t="str">
        <x:v>Mansoura City</x:v>
      </x:c>
      <x:c r="E766" s="25" t="str">
        <x:v>Ali Sayed</x:v>
      </x:c>
      <x:c r="F766" s="25" t="str">
        <x:v>Nour Samir</x:v>
      </x:c>
      <x:c r="G766" s="25" t="str">
        <x:v>Small Business</x:v>
      </x:c>
      <x:c r="H766" s="25" t="str">
        <x:v>Retail Store</x:v>
      </x:c>
      <x:c r="I766" s="25" t="str">
        <x:v>Electronics</x:v>
      </x:c>
      <x:c r="J766" s="25" t="str">
        <x:v>Laptop</x:v>
      </x:c>
      <x:c r="K766" s="25" t="n">
        <x:v>2</x:v>
      </x:c>
      <x:c r="L766" s="26" t="n">
        <x:v>25571</x:v>
      </x:c>
      <x:c r="M766" s="27" t="n">
        <x:v>0.15</x:v>
      </x:c>
      <x:c r="N766" s="26" t="n">
        <x:f>K766*L766</x:f>
        <x:v>51142</x:v>
      </x:c>
      <x:c r="O766" s="26" t="n">
        <x:f>N766*(1-M766)</x:f>
        <x:v>43470.7</x:v>
      </x:c>
      <x:c r="P766" s="26" t="n">
        <x:v>21932</x:v>
      </x:c>
      <x:c r="Q766" s="26" t="n">
        <x:f>K766*P766</x:f>
        <x:v>43864</x:v>
      </x:c>
      <x:c r="R766" s="26" t="n">
        <x:f>O766-Q766</x:f>
        <x:v>-393.3000000000029</x:v>
      </x:c>
      <x:c r="S766" s="28" t="n">
        <x:f>IF(O766=0,0,R766/O766)</x:f>
        <x:v>-0.00904747335561661</x:v>
      </x:c>
      <x:c r="T766" s="25" t="str">
        <x:v>Debit Card</x:v>
      </x:c>
      <x:c r="U766" s="25" t="str">
        <x:v>Cancelled</x:v>
      </x:c>
      <x:c r="V766" s="29" t="n">
        <x:v>4</x:v>
      </x:c>
    </x:row>
    <x:row r="767">
      <x:c r="A767" s="23" t="str">
        <x:v>MAN-2025-00766</x:v>
      </x:c>
      <x:c r="B767" s="24" t="n">
        <x:v>45866</x:v>
      </x:c>
      <x:c r="C767" s="25" t="str">
        <x:v>Mansoura</x:v>
      </x:c>
      <x:c r="D767" s="25" t="str">
        <x:v>Talkha</x:v>
      </x:c>
      <x:c r="E767" s="25" t="str">
        <x:v>Ali Sayed</x:v>
      </x:c>
      <x:c r="F767" s="25" t="str">
        <x:v>Mostafa Tarek</x:v>
      </x:c>
      <x:c r="G767" s="25" t="str">
        <x:v>Consumer</x:v>
      </x:c>
      <x:c r="H767" s="25" t="str">
        <x:v>Mobile App</x:v>
      </x:c>
      <x:c r="I767" s="25" t="str">
        <x:v>Office Supplies</x:v>
      </x:c>
      <x:c r="J767" s="25" t="str">
        <x:v>Paper Box</x:v>
      </x:c>
      <x:c r="K767" s="25" t="n">
        <x:v>3</x:v>
      </x:c>
      <x:c r="L767" s="26" t="n">
        <x:v>381</x:v>
      </x:c>
      <x:c r="M767" s="27" t="n">
        <x:v>0.1</x:v>
      </x:c>
      <x:c r="N767" s="26" t="n">
        <x:f>K767*L767</x:f>
        <x:v>1143</x:v>
      </x:c>
      <x:c r="O767" s="26" t="n">
        <x:f>N767*(1-M767)</x:f>
        <x:v>1028.7</x:v>
      </x:c>
      <x:c r="P767" s="26" t="n">
        <x:v>257</x:v>
      </x:c>
      <x:c r="Q767" s="26" t="n">
        <x:f>K767*P767</x:f>
        <x:v>771</x:v>
      </x:c>
      <x:c r="R767" s="26" t="n">
        <x:f>O767-Q767</x:f>
        <x:v>257.70000000000005</x:v>
      </x:c>
      <x:c r="S767" s="28" t="n">
        <x:f>IF(O767=0,0,R767/O767)</x:f>
        <x:v>0.25051035287255763</x:v>
      </x:c>
      <x:c r="T767" s="25" t="str">
        <x:v>Debit Card</x:v>
      </x:c>
      <x:c r="U767" s="25" t="str">
        <x:v>Completed</x:v>
      </x:c>
      <x:c r="V767" s="29" t="n">
        <x:v>5</x:v>
      </x:c>
    </x:row>
    <x:row r="768">
      <x:c r="A768" s="23" t="str">
        <x:v>MAN-2025-00767</x:v>
      </x:c>
      <x:c r="B768" s="24" t="n">
        <x:v>45861</x:v>
      </x:c>
      <x:c r="C768" s="25" t="str">
        <x:v>Mansoura</x:v>
      </x:c>
      <x:c r="D768" s="25" t="str">
        <x:v>Talkha</x:v>
      </x:c>
      <x:c r="E768" s="25" t="str">
        <x:v>Salma Mansour</x:v>
      </x:c>
      <x:c r="F768" s="25" t="str">
        <x:v>Mahmoud Adel</x:v>
      </x:c>
      <x:c r="G768" s="25" t="str">
        <x:v>Corporate</x:v>
      </x:c>
      <x:c r="H768" s="25" t="str">
        <x:v>Retail Store</x:v>
      </x:c>
      <x:c r="I768" s="25" t="str">
        <x:v>Electronics</x:v>
      </x:c>
      <x:c r="J768" s="25" t="str">
        <x:v>Tablet</x:v>
      </x:c>
      <x:c r="K768" s="25" t="n">
        <x:v>6</x:v>
      </x:c>
      <x:c r="L768" s="26" t="n">
        <x:v>8962</x:v>
      </x:c>
      <x:c r="M768" s="27" t="n">
        <x:v>0</x:v>
      </x:c>
      <x:c r="N768" s="26" t="n">
        <x:f>K768*L768</x:f>
        <x:v>53772</x:v>
      </x:c>
      <x:c r="O768" s="26" t="n">
        <x:f>N768*(1-M768)</x:f>
        <x:v>53772</x:v>
      </x:c>
      <x:c r="P768" s="26" t="n">
        <x:v>7342</x:v>
      </x:c>
      <x:c r="Q768" s="26" t="n">
        <x:f>K768*P768</x:f>
        <x:v>44052</x:v>
      </x:c>
      <x:c r="R768" s="26" t="n">
        <x:f>O768-Q768</x:f>
        <x:v>9720</x:v>
      </x:c>
      <x:c r="S768" s="28" t="n">
        <x:f>IF(O768=0,0,R768/O768)</x:f>
        <x:v>0.1807632224949788</x:v>
      </x:c>
      <x:c r="T768" s="25" t="str">
        <x:v>Credit Card</x:v>
      </x:c>
      <x:c r="U768" s="25" t="str">
        <x:v>Cancelled</x:v>
      </x:c>
      <x:c r="V768" s="29" t="n">
        <x:v>5</x:v>
      </x:c>
    </x:row>
    <x:row r="769">
      <x:c r="A769" s="23" t="str">
        <x:v>MAN-2025-00768</x:v>
      </x:c>
      <x:c r="B769" s="24" t="n">
        <x:v>45849</x:v>
      </x:c>
      <x:c r="C769" s="25" t="str">
        <x:v>Mansoura</x:v>
      </x:c>
      <x:c r="D769" s="25" t="str">
        <x:v>Talkha</x:v>
      </x:c>
      <x:c r="E769" s="25" t="str">
        <x:v>Aya Farouk</x:v>
      </x:c>
      <x:c r="F769" s="25" t="str">
        <x:v>Youssef Farouk</x:v>
      </x:c>
      <x:c r="G769" s="25" t="str">
        <x:v>Consumer</x:v>
      </x:c>
      <x:c r="H769" s="25" t="str">
        <x:v>Website</x:v>
      </x:c>
      <x:c r="I769" s="25" t="str">
        <x:v>Furniture</x:v>
      </x:c>
      <x:c r="J769" s="25" t="str">
        <x:v>Office Chair</x:v>
      </x:c>
      <x:c r="K769" s="25" t="n">
        <x:v>2</x:v>
      </x:c>
      <x:c r="L769" s="26" t="n">
        <x:v>3764</x:v>
      </x:c>
      <x:c r="M769" s="27" t="n">
        <x:v>0.1</x:v>
      </x:c>
      <x:c r="N769" s="26" t="n">
        <x:f>K769*L769</x:f>
        <x:v>7528</x:v>
      </x:c>
      <x:c r="O769" s="26" t="n">
        <x:f>N769*(1-M769)</x:f>
        <x:v>6775.2</x:v>
      </x:c>
      <x:c r="P769" s="26" t="n">
        <x:v>2854</x:v>
      </x:c>
      <x:c r="Q769" s="26" t="n">
        <x:f>K769*P769</x:f>
        <x:v>5708</x:v>
      </x:c>
      <x:c r="R769" s="26" t="n">
        <x:f>O769-Q769</x:f>
        <x:v>1067.1999999999998</x:v>
      </x:c>
      <x:c r="S769" s="28" t="n">
        <x:f>IF(O769=0,0,R769/O769)</x:f>
        <x:v>0.15751564529460382</x:v>
      </x:c>
      <x:c r="T769" s="25" t="str">
        <x:v>Digital Wallet</x:v>
      </x:c>
      <x:c r="U769" s="25" t="str">
        <x:v>Completed</x:v>
      </x:c>
      <x:c r="V769" s="29" t="n">
        <x:v>4</x:v>
      </x:c>
    </x:row>
    <x:row r="770">
      <x:c r="A770" s="23" t="str">
        <x:v>MAN-2025-00769</x:v>
      </x:c>
      <x:c r="B770" s="24" t="n">
        <x:v>45808</x:v>
      </x:c>
      <x:c r="C770" s="25" t="str">
        <x:v>Mansoura</x:v>
      </x:c>
      <x:c r="D770" s="25" t="str">
        <x:v>Mansoura City</x:v>
      </x:c>
      <x:c r="E770" s="25" t="str">
        <x:v>Salma Mansour</x:v>
      </x:c>
      <x:c r="F770" s="25" t="str">
        <x:v>Mohamed Ibrahim</x:v>
      </x:c>
      <x:c r="G770" s="25" t="str">
        <x:v>Consumer</x:v>
      </x:c>
      <x:c r="H770" s="25" t="str">
        <x:v>Website</x:v>
      </x:c>
      <x:c r="I770" s="25" t="str">
        <x:v>Home Appliances</x:v>
      </x:c>
      <x:c r="J770" s="25" t="str">
        <x:v>Microwave</x:v>
      </x:c>
      <x:c r="K770" s="25" t="n">
        <x:v>6</x:v>
      </x:c>
      <x:c r="L770" s="26" t="n">
        <x:v>5569</x:v>
      </x:c>
      <x:c r="M770" s="27" t="n">
        <x:v>0</x:v>
      </x:c>
      <x:c r="N770" s="26" t="n">
        <x:f>K770*L770</x:f>
        <x:v>33414</x:v>
      </x:c>
      <x:c r="O770" s="26" t="n">
        <x:f>N770*(1-M770)</x:f>
        <x:v>33414</x:v>
      </x:c>
      <x:c r="P770" s="26" t="n">
        <x:v>4394</x:v>
      </x:c>
      <x:c r="Q770" s="26" t="n">
        <x:f>K770*P770</x:f>
        <x:v>26364</x:v>
      </x:c>
      <x:c r="R770" s="26" t="n">
        <x:f>O770-Q770</x:f>
        <x:v>7050</x:v>
      </x:c>
      <x:c r="S770" s="28" t="n">
        <x:f>IF(O770=0,0,R770/O770)</x:f>
        <x:v>0.2109894056383552</x:v>
      </x:c>
      <x:c r="T770" s="25" t="str">
        <x:v>Credit Card</x:v>
      </x:c>
      <x:c r="U770" s="25" t="str">
        <x:v>Completed</x:v>
      </x:c>
      <x:c r="V770" s="29" t="n">
        <x:v>4</x:v>
      </x:c>
    </x:row>
    <x:row r="771">
      <x:c r="A771" s="23" t="str">
        <x:v>MAN-2025-00770</x:v>
      </x:c>
      <x:c r="B771" s="24" t="n">
        <x:v>45780</x:v>
      </x:c>
      <x:c r="C771" s="25" t="str">
        <x:v>Mansoura</x:v>
      </x:c>
      <x:c r="D771" s="25" t="str">
        <x:v>Sherbin</x:v>
      </x:c>
      <x:c r="E771" s="25" t="str">
        <x:v>Youssef Fathy</x:v>
      </x:c>
      <x:c r="F771" s="25" t="str">
        <x:v>Amr Ibrahim</x:v>
      </x:c>
      <x:c r="G771" s="25" t="str">
        <x:v>Small Business</x:v>
      </x:c>
      <x:c r="H771" s="25" t="str">
        <x:v>Website</x:v>
      </x:c>
      <x:c r="I771" s="25" t="str">
        <x:v>Home Appliances</x:v>
      </x:c>
      <x:c r="J771" s="25" t="str">
        <x:v>Blender</x:v>
      </x:c>
      <x:c r="K771" s="25" t="n">
        <x:v>5</x:v>
      </x:c>
      <x:c r="L771" s="26" t="n">
        <x:v>1738</x:v>
      </x:c>
      <x:c r="M771" s="27" t="n">
        <x:v>0.05</x:v>
      </x:c>
      <x:c r="N771" s="26" t="n">
        <x:f>K771*L771</x:f>
        <x:v>8690</x:v>
      </x:c>
      <x:c r="O771" s="26" t="n">
        <x:f>N771*(1-M771)</x:f>
        <x:v>8255.5</x:v>
      </x:c>
      <x:c r="P771" s="26" t="n">
        <x:v>1267</x:v>
      </x:c>
      <x:c r="Q771" s="26" t="n">
        <x:f>K771*P771</x:f>
        <x:v>6335</x:v>
      </x:c>
      <x:c r="R771" s="26" t="n">
        <x:f>O771-Q771</x:f>
        <x:v>1920.5</x:v>
      </x:c>
      <x:c r="S771" s="28" t="n">
        <x:f>IF(O771=0,0,R771/O771)</x:f>
        <x:v>0.23263279026103809</x:v>
      </x:c>
      <x:c r="T771" s="25" t="str">
        <x:v>Credit Card</x:v>
      </x:c>
      <x:c r="U771" s="25" t="str">
        <x:v>Completed</x:v>
      </x:c>
      <x:c r="V771" s="29" t="n">
        <x:v>4</x:v>
      </x:c>
    </x:row>
    <x:row r="772">
      <x:c r="A772" s="23" t="str">
        <x:v>MAN-2025-00771</x:v>
      </x:c>
      <x:c r="B772" s="24" t="n">
        <x:v>45732</x:v>
      </x:c>
      <x:c r="C772" s="25" t="str">
        <x:v>Mansoura</x:v>
      </x:c>
      <x:c r="D772" s="25" t="str">
        <x:v>Mit Ghamr</x:v>
      </x:c>
      <x:c r="E772" s="25" t="str">
        <x:v>Ali Sayed</x:v>
      </x:c>
      <x:c r="F772" s="25" t="str">
        <x:v>Ahmed Samir</x:v>
      </x:c>
      <x:c r="G772" s="25" t="str">
        <x:v>Consumer</x:v>
      </x:c>
      <x:c r="H772" s="25" t="str">
        <x:v>Phone Order</x:v>
      </x:c>
      <x:c r="I772" s="25" t="str">
        <x:v>Office Supplies</x:v>
      </x:c>
      <x:c r="J772" s="25" t="str">
        <x:v>Printer</x:v>
      </x:c>
      <x:c r="K772" s="25" t="n">
        <x:v>5</x:v>
      </x:c>
      <x:c r="L772" s="26" t="n">
        <x:v>6232</x:v>
      </x:c>
      <x:c r="M772" s="27" t="n">
        <x:v>0</x:v>
      </x:c>
      <x:c r="N772" s="26" t="n">
        <x:f>K772*L772</x:f>
        <x:v>31160</x:v>
      </x:c>
      <x:c r="O772" s="26" t="n">
        <x:f>N772*(1-M772)</x:f>
        <x:v>31160</x:v>
      </x:c>
      <x:c r="P772" s="26" t="n">
        <x:v>5271</x:v>
      </x:c>
      <x:c r="Q772" s="26" t="n">
        <x:f>K772*P772</x:f>
        <x:v>26355</x:v>
      </x:c>
      <x:c r="R772" s="26" t="n">
        <x:f>O772-Q772</x:f>
        <x:v>4805</x:v>
      </x:c>
      <x:c r="S772" s="28" t="n">
        <x:f>IF(O772=0,0,R772/O772)</x:f>
        <x:v>0.154204107830552</x:v>
      </x:c>
      <x:c r="T772" s="25" t="str">
        <x:v>Debit Card</x:v>
      </x:c>
      <x:c r="U772" s="25" t="str">
        <x:v>Cancelled</x:v>
      </x:c>
      <x:c r="V772" s="29" t="n">
        <x:v>5</x:v>
      </x:c>
    </x:row>
    <x:row r="773">
      <x:c r="A773" s="23" t="str">
        <x:v>MAN-2025-00772</x:v>
      </x:c>
      <x:c r="B773" s="24" t="n">
        <x:v>45905</x:v>
      </x:c>
      <x:c r="C773" s="25" t="str">
        <x:v>Mansoura</x:v>
      </x:c>
      <x:c r="D773" s="25" t="str">
        <x:v>Talkha</x:v>
      </x:c>
      <x:c r="E773" s="25" t="str">
        <x:v>Aya Farouk</x:v>
      </x:c>
      <x:c r="F773" s="25" t="str">
        <x:v>Omar Farouk</x:v>
      </x:c>
      <x:c r="G773" s="25" t="str">
        <x:v>Consumer</x:v>
      </x:c>
      <x:c r="H773" s="25" t="str">
        <x:v>Retail Store</x:v>
      </x:c>
      <x:c r="I773" s="25" t="str">
        <x:v>Home Appliances</x:v>
      </x:c>
      <x:c r="J773" s="25" t="str">
        <x:v>Air Conditioner</x:v>
      </x:c>
      <x:c r="K773" s="25" t="n">
        <x:v>5</x:v>
      </x:c>
      <x:c r="L773" s="26" t="n">
        <x:v>20564</x:v>
      </x:c>
      <x:c r="M773" s="27" t="n">
        <x:v>0.05</x:v>
      </x:c>
      <x:c r="N773" s="26" t="n">
        <x:f>K773*L773</x:f>
        <x:v>102820</x:v>
      </x:c>
      <x:c r="O773" s="26" t="n">
        <x:f>N773*(1-M773)</x:f>
        <x:v>97679</x:v>
      </x:c>
      <x:c r="P773" s="26" t="n">
        <x:v>17914</x:v>
      </x:c>
      <x:c r="Q773" s="26" t="n">
        <x:f>K773*P773</x:f>
        <x:v>89570</x:v>
      </x:c>
      <x:c r="R773" s="26" t="n">
        <x:f>O773-Q773</x:f>
        <x:v>8109</x:v>
      </x:c>
      <x:c r="S773" s="28" t="n">
        <x:f>IF(O773=0,0,R773/O773)</x:f>
        <x:v>0.08301682040151927</x:v>
      </x:c>
      <x:c r="T773" s="25" t="str">
        <x:v>Cash</x:v>
      </x:c>
      <x:c r="U773" s="25" t="str">
        <x:v>Completed</x:v>
      </x:c>
      <x:c r="V773" s="29" t="n">
        <x:v>5</x:v>
      </x:c>
    </x:row>
    <x:row r="774">
      <x:c r="A774" s="23" t="str">
        <x:v>MAN-2025-00773</x:v>
      </x:c>
      <x:c r="B774" s="24" t="n">
        <x:v>46021</x:v>
      </x:c>
      <x:c r="C774" s="25" t="str">
        <x:v>Mansoura</x:v>
      </x:c>
      <x:c r="D774" s="25" t="str">
        <x:v>Sherbin</x:v>
      </x:c>
      <x:c r="E774" s="25" t="str">
        <x:v>Youssef Fathy</x:v>
      </x:c>
      <x:c r="F774" s="25" t="str">
        <x:v>Omar Khalil</x:v>
      </x:c>
      <x:c r="G774" s="25" t="str">
        <x:v>Corporate</x:v>
      </x:c>
      <x:c r="H774" s="25" t="str">
        <x:v>Retail Store</x:v>
      </x:c>
      <x:c r="I774" s="25" t="str">
        <x:v>Home Appliances</x:v>
      </x:c>
      <x:c r="J774" s="25" t="str">
        <x:v>Washing Machine</x:v>
      </x:c>
      <x:c r="K774" s="25" t="n">
        <x:v>2</x:v>
      </x:c>
      <x:c r="L774" s="26" t="n">
        <x:v>15669</x:v>
      </x:c>
      <x:c r="M774" s="27" t="n">
        <x:v>0.1</x:v>
      </x:c>
      <x:c r="N774" s="26" t="n">
        <x:f>K774*L774</x:f>
        <x:v>31338</x:v>
      </x:c>
      <x:c r="O774" s="26" t="n">
        <x:f>N774*(1-M774)</x:f>
        <x:v>28204.2</x:v>
      </x:c>
      <x:c r="P774" s="26" t="n">
        <x:v>14220</x:v>
      </x:c>
      <x:c r="Q774" s="26" t="n">
        <x:f>K774*P774</x:f>
        <x:v>28440</x:v>
      </x:c>
      <x:c r="R774" s="26" t="n">
        <x:f>O774-Q774</x:f>
        <x:v>-235.79999999999927</x:v>
      </x:c>
      <x:c r="S774" s="28" t="n">
        <x:f>IF(O774=0,0,R774/O774)</x:f>
        <x:v>-0.008360456953219707</x:v>
      </x:c>
      <x:c r="T774" s="25" t="str">
        <x:v>Credit Card</x:v>
      </x:c>
      <x:c r="U774" s="25" t="str">
        <x:v>Cancelled</x:v>
      </x:c>
      <x:c r="V774" s="29" t="n">
        <x:v>4</x:v>
      </x:c>
    </x:row>
    <x:row r="775">
      <x:c r="A775" s="23" t="str">
        <x:v>MAN-2025-00774</x:v>
      </x:c>
      <x:c r="B775" s="24" t="n">
        <x:v>45665</x:v>
      </x:c>
      <x:c r="C775" s="25" t="str">
        <x:v>Mansoura</x:v>
      </x:c>
      <x:c r="D775" s="25" t="str">
        <x:v>Mit Ghamr</x:v>
      </x:c>
      <x:c r="E775" s="25" t="str">
        <x:v>Ali Sayed</x:v>
      </x:c>
      <x:c r="F775" s="25" t="str">
        <x:v>Aya Gamal</x:v>
      </x:c>
      <x:c r="G775" s="25" t="str">
        <x:v>Small Business</x:v>
      </x:c>
      <x:c r="H775" s="25" t="str">
        <x:v>Website</x:v>
      </x:c>
      <x:c r="I775" s="25" t="str">
        <x:v>Home Appliances</x:v>
      </x:c>
      <x:c r="J775" s="25" t="str">
        <x:v>Air Conditioner</x:v>
      </x:c>
      <x:c r="K775" s="25" t="n">
        <x:v>4</x:v>
      </x:c>
      <x:c r="L775" s="26" t="n">
        <x:v>20884</x:v>
      </x:c>
      <x:c r="M775" s="27" t="n">
        <x:v>0.15</x:v>
      </x:c>
      <x:c r="N775" s="26" t="n">
        <x:f>K775*L775</x:f>
        <x:v>83536</x:v>
      </x:c>
      <x:c r="O775" s="26" t="n">
        <x:f>N775*(1-M775)</x:f>
        <x:v>71005.59999999999</x:v>
      </x:c>
      <x:c r="P775" s="26" t="n">
        <x:v>17650</x:v>
      </x:c>
      <x:c r="Q775" s="26" t="n">
        <x:f>K775*P775</x:f>
        <x:v>70600</x:v>
      </x:c>
      <x:c r="R775" s="26" t="n">
        <x:f>O775-Q775</x:f>
        <x:v>405.59999999999127</x:v>
      </x:c>
      <x:c r="S775" s="28" t="n">
        <x:f>IF(O775=0,0,R775/O775)</x:f>
        <x:v>0.005712225514607176</x:v>
      </x:c>
      <x:c r="T775" s="25" t="str">
        <x:v>Cash</x:v>
      </x:c>
      <x:c r="U775" s="25" t="str">
        <x:v>Completed</x:v>
      </x:c>
      <x:c r="V775" s="29" t="n">
        <x:v>5</x:v>
      </x:c>
    </x:row>
    <x:row r="776">
      <x:c r="A776" s="23" t="str">
        <x:v>MAN-2025-00775</x:v>
      </x:c>
      <x:c r="B776" s="24" t="n">
        <x:v>45955</x:v>
      </x:c>
      <x:c r="C776" s="25" t="str">
        <x:v>Mansoura</x:v>
      </x:c>
      <x:c r="D776" s="25" t="str">
        <x:v>Aga</x:v>
      </x:c>
      <x:c r="E776" s="25" t="str">
        <x:v>Salma Mansour</x:v>
      </x:c>
      <x:c r="F776" s="25" t="str">
        <x:v>Farah Tarek</x:v>
      </x:c>
      <x:c r="G776" s="25" t="str">
        <x:v>Small Business</x:v>
      </x:c>
      <x:c r="H776" s="25" t="str">
        <x:v>Website</x:v>
      </x:c>
      <x:c r="I776" s="25" t="str">
        <x:v>Home Appliances</x:v>
      </x:c>
      <x:c r="J776" s="25" t="str">
        <x:v>Blender</x:v>
      </x:c>
      <x:c r="K776" s="25" t="n">
        <x:v>5</x:v>
      </x:c>
      <x:c r="L776" s="26" t="n">
        <x:v>1815</x:v>
      </x:c>
      <x:c r="M776" s="27" t="n">
        <x:v>0</x:v>
      </x:c>
      <x:c r="N776" s="26" t="n">
        <x:f>K776*L776</x:f>
        <x:v>9075</x:v>
      </x:c>
      <x:c r="O776" s="26" t="n">
        <x:f>N776*(1-M776)</x:f>
        <x:v>9075</x:v>
      </x:c>
      <x:c r="P776" s="26" t="n">
        <x:v>1218</x:v>
      </x:c>
      <x:c r="Q776" s="26" t="n">
        <x:f>K776*P776</x:f>
        <x:v>6090</x:v>
      </x:c>
      <x:c r="R776" s="26" t="n">
        <x:f>O776-Q776</x:f>
        <x:v>2985</x:v>
      </x:c>
      <x:c r="S776" s="28" t="n">
        <x:f>IF(O776=0,0,R776/O776)</x:f>
        <x:v>0.32892561983471075</x:v>
      </x:c>
      <x:c r="T776" s="25" t="str">
        <x:v>Debit Card</x:v>
      </x:c>
      <x:c r="U776" s="25" t="str">
        <x:v>Cancelled</x:v>
      </x:c>
      <x:c r="V776" s="29" t="n">
        <x:v>4</x:v>
      </x:c>
    </x:row>
    <x:row r="777">
      <x:c r="A777" s="23" t="str">
        <x:v>MAN-2025-00776</x:v>
      </x:c>
      <x:c r="B777" s="24" t="n">
        <x:v>45771</x:v>
      </x:c>
      <x:c r="C777" s="25" t="str">
        <x:v>Mansoura</x:v>
      </x:c>
      <x:c r="D777" s="25" t="str">
        <x:v>Talkha</x:v>
      </x:c>
      <x:c r="E777" s="25" t="str">
        <x:v>Youssef Fathy</x:v>
      </x:c>
      <x:c r="F777" s="25" t="str">
        <x:v>Ahmed Farouk</x:v>
      </x:c>
      <x:c r="G777" s="25" t="str">
        <x:v>Consumer</x:v>
      </x:c>
      <x:c r="H777" s="25" t="str">
        <x:v>Mobile App</x:v>
      </x:c>
      <x:c r="I777" s="25" t="str">
        <x:v>Furniture</x:v>
      </x:c>
      <x:c r="J777" s="25" t="str">
        <x:v>Sofa</x:v>
      </x:c>
      <x:c r="K777" s="25" t="n">
        <x:v>1</x:v>
      </x:c>
      <x:c r="L777" s="26" t="n">
        <x:v>13942</x:v>
      </x:c>
      <x:c r="M777" s="27" t="n">
        <x:v>0</x:v>
      </x:c>
      <x:c r="N777" s="26" t="n">
        <x:f>K777*L777</x:f>
        <x:v>13942</x:v>
      </x:c>
      <x:c r="O777" s="26" t="n">
        <x:f>N777*(1-M777)</x:f>
        <x:v>13942</x:v>
      </x:c>
      <x:c r="P777" s="26" t="n">
        <x:v>10930</x:v>
      </x:c>
      <x:c r="Q777" s="26" t="n">
        <x:f>K777*P777</x:f>
        <x:v>10930</x:v>
      </x:c>
      <x:c r="R777" s="26" t="n">
        <x:f>O777-Q777</x:f>
        <x:v>3012</x:v>
      </x:c>
      <x:c r="S777" s="28" t="n">
        <x:f>IF(O777=0,0,R777/O777)</x:f>
        <x:v>0.21603787118060536</x:v>
      </x:c>
      <x:c r="T777" s="25" t="str">
        <x:v>Debit Card</x:v>
      </x:c>
      <x:c r="U777" s="25" t="str">
        <x:v>Completed</x:v>
      </x:c>
      <x:c r="V777" s="29" t="n">
        <x:v>5</x:v>
      </x:c>
    </x:row>
    <x:row r="778">
      <x:c r="A778" s="23" t="str">
        <x:v>MAN-2025-00777</x:v>
      </x:c>
      <x:c r="B778" s="24" t="n">
        <x:v>45712</x:v>
      </x:c>
      <x:c r="C778" s="25" t="str">
        <x:v>Mansoura</x:v>
      </x:c>
      <x:c r="D778" s="25" t="str">
        <x:v>Aga</x:v>
      </x:c>
      <x:c r="E778" s="25" t="str">
        <x:v>Salma Mansour</x:v>
      </x:c>
      <x:c r="F778" s="25" t="str">
        <x:v>Youssef Fathy</x:v>
      </x:c>
      <x:c r="G778" s="25" t="str">
        <x:v>Consumer</x:v>
      </x:c>
      <x:c r="H778" s="25" t="str">
        <x:v>Retail Store</x:v>
      </x:c>
      <x:c r="I778" s="25" t="str">
        <x:v>Electronics</x:v>
      </x:c>
      <x:c r="J778" s="25" t="str">
        <x:v>Tablet</x:v>
      </x:c>
      <x:c r="K778" s="25" t="n">
        <x:v>6</x:v>
      </x:c>
      <x:c r="L778" s="26" t="n">
        <x:v>8581</x:v>
      </x:c>
      <x:c r="M778" s="27" t="n">
        <x:v>0.05</x:v>
      </x:c>
      <x:c r="N778" s="26" t="n">
        <x:f>K778*L778</x:f>
        <x:v>51486</x:v>
      </x:c>
      <x:c r="O778" s="26" t="n">
        <x:f>N778*(1-M778)</x:f>
        <x:v>48911.7</x:v>
      </x:c>
      <x:c r="P778" s="26" t="n">
        <x:v>7258</x:v>
      </x:c>
      <x:c r="Q778" s="26" t="n">
        <x:f>K778*P778</x:f>
        <x:v>43548</x:v>
      </x:c>
      <x:c r="R778" s="26" t="n">
        <x:f>O778-Q778</x:f>
        <x:v>5363.699999999997</x:v>
      </x:c>
      <x:c r="S778" s="28" t="n">
        <x:f>IF(O778=0,0,R778/O778)</x:f>
        <x:v>0.10966087868546784</x:v>
      </x:c>
      <x:c r="T778" s="25" t="str">
        <x:v>Cash</x:v>
      </x:c>
      <x:c r="U778" s="25" t="str">
        <x:v>Cancelled</x:v>
      </x:c>
      <x:c r="V778" s="29" t="n">
        <x:v>5</x:v>
      </x:c>
    </x:row>
    <x:row r="779">
      <x:c r="A779" s="23" t="str">
        <x:v>MAN-2025-00778</x:v>
      </x:c>
      <x:c r="B779" s="24" t="n">
        <x:v>45670</x:v>
      </x:c>
      <x:c r="C779" s="25" t="str">
        <x:v>Mansoura</x:v>
      </x:c>
      <x:c r="D779" s="25" t="str">
        <x:v>Mansoura City</x:v>
      </x:c>
      <x:c r="E779" s="25" t="str">
        <x:v>Youssef Fathy</x:v>
      </x:c>
      <x:c r="F779" s="25" t="str">
        <x:v>Mariam Adel</x:v>
      </x:c>
      <x:c r="G779" s="25" t="str">
        <x:v>Consumer</x:v>
      </x:c>
      <x:c r="H779" s="25" t="str">
        <x:v>Website</x:v>
      </x:c>
      <x:c r="I779" s="25" t="str">
        <x:v>Office Supplies</x:v>
      </x:c>
      <x:c r="J779" s="25" t="str">
        <x:v>Paper Box</x:v>
      </x:c>
      <x:c r="K779" s="25" t="n">
        <x:v>4</x:v>
      </x:c>
      <x:c r="L779" s="26" t="n">
        <x:v>382</x:v>
      </x:c>
      <x:c r="M779" s="27" t="n">
        <x:v>0.15</x:v>
      </x:c>
      <x:c r="N779" s="26" t="n">
        <x:f>K779*L779</x:f>
        <x:v>1528</x:v>
      </x:c>
      <x:c r="O779" s="26" t="n">
        <x:f>N779*(1-M779)</x:f>
        <x:v>1298.8</x:v>
      </x:c>
      <x:c r="P779" s="26" t="n">
        <x:v>266</x:v>
      </x:c>
      <x:c r="Q779" s="26" t="n">
        <x:f>K779*P779</x:f>
        <x:v>1064</x:v>
      </x:c>
      <x:c r="R779" s="26" t="n">
        <x:f>O779-Q779</x:f>
        <x:v>234.79999999999995</x:v>
      </x:c>
      <x:c r="S779" s="28" t="n">
        <x:f>IF(O779=0,0,R779/O779)</x:f>
        <x:v>0.18078226054819832</x:v>
      </x:c>
      <x:c r="T779" s="25" t="str">
        <x:v>Digital Wallet</x:v>
      </x:c>
      <x:c r="U779" s="25" t="str">
        <x:v>Cancelled</x:v>
      </x:c>
      <x:c r="V779" s="29" t="n">
        <x:v>4</x:v>
      </x:c>
    </x:row>
    <x:row r="780">
      <x:c r="A780" s="23" t="str">
        <x:v>MAN-2025-00779</x:v>
      </x:c>
      <x:c r="B780" s="24" t="n">
        <x:v>45912</x:v>
      </x:c>
      <x:c r="C780" s="25" t="str">
        <x:v>Mansoura</x:v>
      </x:c>
      <x:c r="D780" s="25" t="str">
        <x:v>Sherbin</x:v>
      </x:c>
      <x:c r="E780" s="25" t="str">
        <x:v>Ali Sayed</x:v>
      </x:c>
      <x:c r="F780" s="25" t="str">
        <x:v>Hana Ibrahim</x:v>
      </x:c>
      <x:c r="G780" s="25" t="str">
        <x:v>Corporate</x:v>
      </x:c>
      <x:c r="H780" s="25" t="str">
        <x:v>Retail Store</x:v>
      </x:c>
      <x:c r="I780" s="25" t="str">
        <x:v>Electronics</x:v>
      </x:c>
      <x:c r="J780" s="25" t="str">
        <x:v>Smartphone</x:v>
      </x:c>
      <x:c r="K780" s="25" t="n">
        <x:v>6</x:v>
      </x:c>
      <x:c r="L780" s="26" t="n">
        <x:v>12275</x:v>
      </x:c>
      <x:c r="M780" s="27" t="n">
        <x:v>0.05</x:v>
      </x:c>
      <x:c r="N780" s="26" t="n">
        <x:f>K780*L780</x:f>
        <x:v>73650</x:v>
      </x:c>
      <x:c r="O780" s="26" t="n">
        <x:f>N780*(1-M780)</x:f>
        <x:v>69967.5</x:v>
      </x:c>
      <x:c r="P780" s="26" t="n">
        <x:v>10881</x:v>
      </x:c>
      <x:c r="Q780" s="26" t="n">
        <x:f>K780*P780</x:f>
        <x:v>65286</x:v>
      </x:c>
      <x:c r="R780" s="26" t="n">
        <x:f>O780-Q780</x:f>
        <x:v>4681.5</x:v>
      </x:c>
      <x:c r="S780" s="28" t="n">
        <x:f>IF(O780=0,0,R780/O780)</x:f>
        <x:v>0.06690963661700075</x:v>
      </x:c>
      <x:c r="T780" s="25" t="str">
        <x:v>Debit Card</x:v>
      </x:c>
      <x:c r="U780" s="25" t="str">
        <x:v>Completed</x:v>
      </x:c>
      <x:c r="V780" s="29" t="n">
        <x:v>4</x:v>
      </x:c>
    </x:row>
    <x:row r="781">
      <x:c r="A781" s="23" t="str">
        <x:v>MAN-2025-00780</x:v>
      </x:c>
      <x:c r="B781" s="24" t="n">
        <x:v>45685</x:v>
      </x:c>
      <x:c r="C781" s="25" t="str">
        <x:v>Mansoura</x:v>
      </x:c>
      <x:c r="D781" s="25" t="str">
        <x:v>Mansoura City</x:v>
      </x:c>
      <x:c r="E781" s="25" t="str">
        <x:v>Ali Sayed</x:v>
      </x:c>
      <x:c r="F781" s="25" t="str">
        <x:v>Mahmoud Khalil</x:v>
      </x:c>
      <x:c r="G781" s="25" t="str">
        <x:v>Corporate</x:v>
      </x:c>
      <x:c r="H781" s="25" t="str">
        <x:v>Mobile App</x:v>
      </x:c>
      <x:c r="I781" s="25" t="str">
        <x:v>Home Appliances</x:v>
      </x:c>
      <x:c r="J781" s="25" t="str">
        <x:v>Washing Machine</x:v>
      </x:c>
      <x:c r="K781" s="25" t="n">
        <x:v>3</x:v>
      </x:c>
      <x:c r="L781" s="26" t="n">
        <x:v>17126</x:v>
      </x:c>
      <x:c r="M781" s="27" t="n">
        <x:v>0.05</x:v>
      </x:c>
      <x:c r="N781" s="26" t="n">
        <x:f>K781*L781</x:f>
        <x:v>51378</x:v>
      </x:c>
      <x:c r="O781" s="26" t="n">
        <x:f>N781*(1-M781)</x:f>
        <x:v>48809.1</x:v>
      </x:c>
      <x:c r="P781" s="26" t="n">
        <x:v>14455</x:v>
      </x:c>
      <x:c r="Q781" s="26" t="n">
        <x:f>K781*P781</x:f>
        <x:v>43365</x:v>
      </x:c>
      <x:c r="R781" s="26" t="n">
        <x:f>O781-Q781</x:f>
        <x:v>5444.0999999999985</x:v>
      </x:c>
      <x:c r="S781" s="28" t="n">
        <x:f>IF(O781=0,0,R781/O781)</x:f>
        <x:v>0.11153862701832237</x:v>
      </x:c>
      <x:c r="T781" s="25" t="str">
        <x:v>Cash</x:v>
      </x:c>
      <x:c r="U781" s="25" t="str">
        <x:v>Cancelled</x:v>
      </x:c>
      <x:c r="V781" s="29" t="n">
        <x:v>5</x:v>
      </x:c>
    </x:row>
    <x:row r="782">
      <x:c r="A782" s="23" t="str">
        <x:v>MAN-2025-00781</x:v>
      </x:c>
      <x:c r="B782" s="24" t="n">
        <x:v>45848</x:v>
      </x:c>
      <x:c r="C782" s="25" t="str">
        <x:v>Mansoura</x:v>
      </x:c>
      <x:c r="D782" s="25" t="str">
        <x:v>Talkha</x:v>
      </x:c>
      <x:c r="E782" s="25" t="str">
        <x:v>Youssef Fathy</x:v>
      </x:c>
      <x:c r="F782" s="25" t="str">
        <x:v>Omar Sayed</x:v>
      </x:c>
      <x:c r="G782" s="25" t="str">
        <x:v>Small Business</x:v>
      </x:c>
      <x:c r="H782" s="25" t="str">
        <x:v>Mobile App</x:v>
      </x:c>
      <x:c r="I782" s="25" t="str">
        <x:v>Furniture</x:v>
      </x:c>
      <x:c r="J782" s="25" t="str">
        <x:v>Sofa</x:v>
      </x:c>
      <x:c r="K782" s="25" t="n">
        <x:v>6</x:v>
      </x:c>
      <x:c r="L782" s="26" t="n">
        <x:v>12701</x:v>
      </x:c>
      <x:c r="M782" s="27" t="n">
        <x:v>0.1</x:v>
      </x:c>
      <x:c r="N782" s="26" t="n">
        <x:f>K782*L782</x:f>
        <x:v>76206</x:v>
      </x:c>
      <x:c r="O782" s="26" t="n">
        <x:f>N782*(1-M782)</x:f>
        <x:v>68585.40000000001</x:v>
      </x:c>
      <x:c r="P782" s="26" t="n">
        <x:v>10640</x:v>
      </x:c>
      <x:c r="Q782" s="26" t="n">
        <x:f>K782*P782</x:f>
        <x:v>63840</x:v>
      </x:c>
      <x:c r="R782" s="26" t="n">
        <x:f>O782-Q782</x:f>
        <x:v>4745.400000000009</x:v>
      </x:c>
      <x:c r="S782" s="28" t="n">
        <x:f>IF(O782=0,0,R782/O782)</x:f>
        <x:v>0.06918965260828118</x:v>
      </x:c>
      <x:c r="T782" s="25" t="str">
        <x:v>Digital Wallet</x:v>
      </x:c>
      <x:c r="U782" s="25" t="str">
        <x:v>Completed</x:v>
      </x:c>
      <x:c r="V782" s="29" t="n">
        <x:v>3</x:v>
      </x:c>
    </x:row>
    <x:row r="783">
      <x:c r="A783" s="23" t="str">
        <x:v>MAN-2025-00782</x:v>
      </x:c>
      <x:c r="B783" s="24" t="n">
        <x:v>46022</x:v>
      </x:c>
      <x:c r="C783" s="25" t="str">
        <x:v>Mansoura</x:v>
      </x:c>
      <x:c r="D783" s="25" t="str">
        <x:v>Mit Ghamr</x:v>
      </x:c>
      <x:c r="E783" s="25" t="str">
        <x:v>Youssef Fathy</x:v>
      </x:c>
      <x:c r="F783" s="25" t="str">
        <x:v>Farah Mansour</x:v>
      </x:c>
      <x:c r="G783" s="25" t="str">
        <x:v>Corporate</x:v>
      </x:c>
      <x:c r="H783" s="25" t="str">
        <x:v>Mobile App</x:v>
      </x:c>
      <x:c r="I783" s="25" t="str">
        <x:v>Electronics</x:v>
      </x:c>
      <x:c r="J783" s="25" t="str">
        <x:v>Headphones</x:v>
      </x:c>
      <x:c r="K783" s="25" t="n">
        <x:v>1</x:v>
      </x:c>
      <x:c r="L783" s="26" t="n">
        <x:v>1709</x:v>
      </x:c>
      <x:c r="M783" s="27" t="n">
        <x:v>0.05</x:v>
      </x:c>
      <x:c r="N783" s="26" t="n">
        <x:f>K783*L783</x:f>
        <x:v>1709</x:v>
      </x:c>
      <x:c r="O783" s="26" t="n">
        <x:f>N783*(1-M783)</x:f>
        <x:v>1623.55</x:v>
      </x:c>
      <x:c r="P783" s="26" t="n">
        <x:v>1086</x:v>
      </x:c>
      <x:c r="Q783" s="26" t="n">
        <x:f>K783*P783</x:f>
        <x:v>1086</x:v>
      </x:c>
      <x:c r="R783" s="26" t="n">
        <x:f>O783-Q783</x:f>
        <x:v>537.55</x:v>
      </x:c>
      <x:c r="S783" s="28" t="n">
        <x:f>IF(O783=0,0,R783/O783)</x:f>
        <x:v>0.331095439007114</x:v>
      </x:c>
      <x:c r="T783" s="25" t="str">
        <x:v>Debit Card</x:v>
      </x:c>
      <x:c r="U783" s="25" t="str">
        <x:v>Completed</x:v>
      </x:c>
      <x:c r="V783" s="29" t="n">
        <x:v>5</x:v>
      </x:c>
    </x:row>
    <x:row r="784">
      <x:c r="A784" s="23" t="str">
        <x:v>MAN-2025-00783</x:v>
      </x:c>
      <x:c r="B784" s="24" t="n">
        <x:v>45992</x:v>
      </x:c>
      <x:c r="C784" s="25" t="str">
        <x:v>Mansoura</x:v>
      </x:c>
      <x:c r="D784" s="25" t="str">
        <x:v>Aga</x:v>
      </x:c>
      <x:c r="E784" s="25" t="str">
        <x:v>Salma Mansour</x:v>
      </x:c>
      <x:c r="F784" s="25" t="str">
        <x:v>Nour Gamal</x:v>
      </x:c>
      <x:c r="G784" s="25" t="str">
        <x:v>Consumer</x:v>
      </x:c>
      <x:c r="H784" s="25" t="str">
        <x:v>Retail Store</x:v>
      </x:c>
      <x:c r="I784" s="25" t="str">
        <x:v>Home Appliances</x:v>
      </x:c>
      <x:c r="J784" s="25" t="str">
        <x:v>Air Conditioner</x:v>
      </x:c>
      <x:c r="K784" s="25" t="n">
        <x:v>6</x:v>
      </x:c>
      <x:c r="L784" s="26" t="n">
        <x:v>19762</x:v>
      </x:c>
      <x:c r="M784" s="27" t="n">
        <x:v>0</x:v>
      </x:c>
      <x:c r="N784" s="26" t="n">
        <x:f>K784*L784</x:f>
        <x:v>118572</x:v>
      </x:c>
      <x:c r="O784" s="26" t="n">
        <x:f>N784*(1-M784)</x:f>
        <x:v>118572</x:v>
      </x:c>
      <x:c r="P784" s="26" t="n">
        <x:v>17930</x:v>
      </x:c>
      <x:c r="Q784" s="26" t="n">
        <x:f>K784*P784</x:f>
        <x:v>107580</x:v>
      </x:c>
      <x:c r="R784" s="26" t="n">
        <x:f>O784-Q784</x:f>
        <x:v>10992</x:v>
      </x:c>
      <x:c r="S784" s="28" t="n">
        <x:f>IF(O784=0,0,R784/O784)</x:f>
        <x:v>0.09270316769557738</x:v>
      </x:c>
      <x:c r="T784" s="25" t="str">
        <x:v>Debit Card</x:v>
      </x:c>
      <x:c r="U784" s="25" t="str">
        <x:v>Completed</x:v>
      </x:c>
      <x:c r="V784" s="29" t="n">
        <x:v>3</x:v>
      </x:c>
    </x:row>
    <x:row r="785">
      <x:c r="A785" s="23" t="str">
        <x:v>MAN-2025-00784</x:v>
      </x:c>
      <x:c r="B785" s="24" t="n">
        <x:v>45702</x:v>
      </x:c>
      <x:c r="C785" s="25" t="str">
        <x:v>Mansoura</x:v>
      </x:c>
      <x:c r="D785" s="25" t="str">
        <x:v>Talkha</x:v>
      </x:c>
      <x:c r="E785" s="25" t="str">
        <x:v>Youssef Fathy</x:v>
      </x:c>
      <x:c r="F785" s="25" t="str">
        <x:v>Amr Nasser</x:v>
      </x:c>
      <x:c r="G785" s="25" t="str">
        <x:v>Consumer</x:v>
      </x:c>
      <x:c r="H785" s="25" t="str">
        <x:v>Mobile App</x:v>
      </x:c>
      <x:c r="I785" s="25" t="str">
        <x:v>Office Supplies</x:v>
      </x:c>
      <x:c r="J785" s="25" t="str">
        <x:v>Calculator</x:v>
      </x:c>
      <x:c r="K785" s="25" t="n">
        <x:v>1</x:v>
      </x:c>
      <x:c r="L785" s="26" t="n">
        <x:v>440</x:v>
      </x:c>
      <x:c r="M785" s="27" t="n">
        <x:v>0.1</x:v>
      </x:c>
      <x:c r="N785" s="26" t="n">
        <x:f>K785*L785</x:f>
        <x:v>440</x:v>
      </x:c>
      <x:c r="O785" s="26" t="n">
        <x:f>N785*(1-M785)</x:f>
        <x:v>396</x:v>
      </x:c>
      <x:c r="P785" s="26" t="n">
        <x:v>292</x:v>
      </x:c>
      <x:c r="Q785" s="26" t="n">
        <x:f>K785*P785</x:f>
        <x:v>292</x:v>
      </x:c>
      <x:c r="R785" s="26" t="n">
        <x:f>O785-Q785</x:f>
        <x:v>104</x:v>
      </x:c>
      <x:c r="S785" s="28" t="n">
        <x:f>IF(O785=0,0,R785/O785)</x:f>
        <x:v>0.26262626262626265</x:v>
      </x:c>
      <x:c r="T785" s="25" t="str">
        <x:v>Digital Wallet</x:v>
      </x:c>
      <x:c r="U785" s="25" t="str">
        <x:v>Returned</x:v>
      </x:c>
      <x:c r="V785" s="29" t="n">
        <x:v>4</x:v>
      </x:c>
    </x:row>
    <x:row r="786">
      <x:c r="A786" s="23" t="str">
        <x:v>MAN-2025-00785</x:v>
      </x:c>
      <x:c r="B786" s="24" t="n">
        <x:v>45861</x:v>
      </x:c>
      <x:c r="C786" s="25" t="str">
        <x:v>Mansoura</x:v>
      </x:c>
      <x:c r="D786" s="25" t="str">
        <x:v>Aga</x:v>
      </x:c>
      <x:c r="E786" s="25" t="str">
        <x:v>Aya Farouk</x:v>
      </x:c>
      <x:c r="F786" s="25" t="str">
        <x:v>Salma Hassan</x:v>
      </x:c>
      <x:c r="G786" s="25" t="str">
        <x:v>Small Business</x:v>
      </x:c>
      <x:c r="H786" s="25" t="str">
        <x:v>Retail Store</x:v>
      </x:c>
      <x:c r="I786" s="25" t="str">
        <x:v>Electronics</x:v>
      </x:c>
      <x:c r="J786" s="25" t="str">
        <x:v>Laptop</x:v>
      </x:c>
      <x:c r="K786" s="25" t="n">
        <x:v>4</x:v>
      </x:c>
      <x:c r="L786" s="26" t="n">
        <x:v>22671</x:v>
      </x:c>
      <x:c r="M786" s="27" t="n">
        <x:v>0</x:v>
      </x:c>
      <x:c r="N786" s="26" t="n">
        <x:f>K786*L786</x:f>
        <x:v>90684</x:v>
      </x:c>
      <x:c r="O786" s="26" t="n">
        <x:f>N786*(1-M786)</x:f>
        <x:v>90684</x:v>
      </x:c>
      <x:c r="P786" s="26" t="n">
        <x:v>21842</x:v>
      </x:c>
      <x:c r="Q786" s="26" t="n">
        <x:f>K786*P786</x:f>
        <x:v>87368</x:v>
      </x:c>
      <x:c r="R786" s="26" t="n">
        <x:f>O786-Q786</x:f>
        <x:v>3316</x:v>
      </x:c>
      <x:c r="S786" s="28" t="n">
        <x:f>IF(O786=0,0,R786/O786)</x:f>
        <x:v>0.036566538749944866</x:v>
      </x:c>
      <x:c r="T786" s="25" t="str">
        <x:v>Cash</x:v>
      </x:c>
      <x:c r="U786" s="25" t="str">
        <x:v>Completed</x:v>
      </x:c>
      <x:c r="V786" s="29" t="n">
        <x:v>4</x:v>
      </x:c>
    </x:row>
    <x:row r="787">
      <x:c r="A787" s="23" t="str">
        <x:v>MAN-2025-00786</x:v>
      </x:c>
      <x:c r="B787" s="24" t="n">
        <x:v>45674</x:v>
      </x:c>
      <x:c r="C787" s="25" t="str">
        <x:v>Mansoura</x:v>
      </x:c>
      <x:c r="D787" s="25" t="str">
        <x:v>Sherbin</x:v>
      </x:c>
      <x:c r="E787" s="25" t="str">
        <x:v>Youssef Fathy</x:v>
      </x:c>
      <x:c r="F787" s="25" t="str">
        <x:v>Aya Farouk</x:v>
      </x:c>
      <x:c r="G787" s="25" t="str">
        <x:v>Consumer</x:v>
      </x:c>
      <x:c r="H787" s="25" t="str">
        <x:v>Retail Store</x:v>
      </x:c>
      <x:c r="I787" s="25" t="str">
        <x:v>Office Supplies</x:v>
      </x:c>
      <x:c r="J787" s="25" t="str">
        <x:v>Paper Box</x:v>
      </x:c>
      <x:c r="K787" s="25" t="n">
        <x:v>6</x:v>
      </x:c>
      <x:c r="L787" s="26" t="n">
        <x:v>389</x:v>
      </x:c>
      <x:c r="M787" s="27" t="n">
        <x:v>0</x:v>
      </x:c>
      <x:c r="N787" s="26" t="n">
        <x:f>K787*L787</x:f>
        <x:v>2334</x:v>
      </x:c>
      <x:c r="O787" s="26" t="n">
        <x:f>N787*(1-M787)</x:f>
        <x:v>2334</x:v>
      </x:c>
      <x:c r="P787" s="26" t="n">
        <x:v>258</x:v>
      </x:c>
      <x:c r="Q787" s="26" t="n">
        <x:f>K787*P787</x:f>
        <x:v>1548</x:v>
      </x:c>
      <x:c r="R787" s="26" t="n">
        <x:f>O787-Q787</x:f>
        <x:v>786</x:v>
      </x:c>
      <x:c r="S787" s="28" t="n">
        <x:f>IF(O787=0,0,R787/O787)</x:f>
        <x:v>0.33676092544987146</x:v>
      </x:c>
      <x:c r="T787" s="25" t="str">
        <x:v>Bank Transfer</x:v>
      </x:c>
      <x:c r="U787" s="25" t="str">
        <x:v>Completed</x:v>
      </x:c>
      <x:c r="V787" s="29" t="n">
        <x:v>4</x:v>
      </x:c>
    </x:row>
    <x:row r="788">
      <x:c r="A788" s="23" t="str">
        <x:v>MAN-2025-00787</x:v>
      </x:c>
      <x:c r="B788" s="24" t="n">
        <x:v>45975</x:v>
      </x:c>
      <x:c r="C788" s="25" t="str">
        <x:v>Mansoura</x:v>
      </x:c>
      <x:c r="D788" s="25" t="str">
        <x:v>Mit Ghamr</x:v>
      </x:c>
      <x:c r="E788" s="25" t="str">
        <x:v>Youssef Fathy</x:v>
      </x:c>
      <x:c r="F788" s="25" t="str">
        <x:v>Mostafa Fathy</x:v>
      </x:c>
      <x:c r="G788" s="25" t="str">
        <x:v>Small Business</x:v>
      </x:c>
      <x:c r="H788" s="25" t="str">
        <x:v>Retail Store</x:v>
      </x:c>
      <x:c r="I788" s="25" t="str">
        <x:v>Office Supplies</x:v>
      </x:c>
      <x:c r="J788" s="25" t="str">
        <x:v>Printer</x:v>
      </x:c>
      <x:c r="K788" s="25" t="n">
        <x:v>2</x:v>
      </x:c>
      <x:c r="L788" s="26" t="n">
        <x:v>6720</x:v>
      </x:c>
      <x:c r="M788" s="27" t="n">
        <x:v>0</x:v>
      </x:c>
      <x:c r="N788" s="26" t="n">
        <x:f>K788*L788</x:f>
        <x:v>13440</x:v>
      </x:c>
      <x:c r="O788" s="26" t="n">
        <x:f>N788*(1-M788)</x:f>
        <x:v>13440</x:v>
      </x:c>
      <x:c r="P788" s="26" t="n">
        <x:v>5393</x:v>
      </x:c>
      <x:c r="Q788" s="26" t="n">
        <x:f>K788*P788</x:f>
        <x:v>10786</x:v>
      </x:c>
      <x:c r="R788" s="26" t="n">
        <x:f>O788-Q788</x:f>
        <x:v>2654</x:v>
      </x:c>
      <x:c r="S788" s="28" t="n">
        <x:f>IF(O788=0,0,R788/O788)</x:f>
        <x:v>0.1974702380952381</x:v>
      </x:c>
      <x:c r="T788" s="25" t="str">
        <x:v>Credit Card</x:v>
      </x:c>
      <x:c r="U788" s="25" t="str">
        <x:v>Completed</x:v>
      </x:c>
      <x:c r="V788" s="29" t="n">
        <x:v>4</x:v>
      </x:c>
    </x:row>
    <x:row r="789">
      <x:c r="A789" s="23" t="str">
        <x:v>MAN-2025-00788</x:v>
      </x:c>
      <x:c r="B789" s="24" t="n">
        <x:v>45675</x:v>
      </x:c>
      <x:c r="C789" s="25" t="str">
        <x:v>Mansoura</x:v>
      </x:c>
      <x:c r="D789" s="25" t="str">
        <x:v>Sherbin</x:v>
      </x:c>
      <x:c r="E789" s="25" t="str">
        <x:v>Salma Mansour</x:v>
      </x:c>
      <x:c r="F789" s="25" t="str">
        <x:v>Mariam Samir</x:v>
      </x:c>
      <x:c r="G789" s="25" t="str">
        <x:v>Consumer</x:v>
      </x:c>
      <x:c r="H789" s="25" t="str">
        <x:v>Phone Order</x:v>
      </x:c>
      <x:c r="I789" s="25" t="str">
        <x:v>Electronics</x:v>
      </x:c>
      <x:c r="J789" s="25" t="str">
        <x:v>Tablet</x:v>
      </x:c>
      <x:c r="K789" s="25" t="n">
        <x:v>1</x:v>
      </x:c>
      <x:c r="L789" s="26" t="n">
        <x:v>9177</x:v>
      </x:c>
      <x:c r="M789" s="27" t="n">
        <x:v>0</x:v>
      </x:c>
      <x:c r="N789" s="26" t="n">
        <x:f>K789*L789</x:f>
        <x:v>9177</x:v>
      </x:c>
      <x:c r="O789" s="26" t="n">
        <x:f>N789*(1-M789)</x:f>
        <x:v>9177</x:v>
      </x:c>
      <x:c r="P789" s="26" t="n">
        <x:v>7182</x:v>
      </x:c>
      <x:c r="Q789" s="26" t="n">
        <x:f>K789*P789</x:f>
        <x:v>7182</x:v>
      </x:c>
      <x:c r="R789" s="26" t="n">
        <x:f>O789-Q789</x:f>
        <x:v>1995</x:v>
      </x:c>
      <x:c r="S789" s="28" t="n">
        <x:f>IF(O789=0,0,R789/O789)</x:f>
        <x:v>0.21739130434782608</x:v>
      </x:c>
      <x:c r="T789" s="25" t="str">
        <x:v>Credit Card</x:v>
      </x:c>
      <x:c r="U789" s="25" t="str">
        <x:v>Completed</x:v>
      </x:c>
      <x:c r="V789" s="29" t="n">
        <x:v>4</x:v>
      </x:c>
    </x:row>
    <x:row r="790">
      <x:c r="A790" s="23" t="str">
        <x:v>MAN-2025-00789</x:v>
      </x:c>
      <x:c r="B790" s="24" t="n">
        <x:v>45672</x:v>
      </x:c>
      <x:c r="C790" s="25" t="str">
        <x:v>Mansoura</x:v>
      </x:c>
      <x:c r="D790" s="25" t="str">
        <x:v>Aga</x:v>
      </x:c>
      <x:c r="E790" s="25" t="str">
        <x:v>Salma Mansour</x:v>
      </x:c>
      <x:c r="F790" s="25" t="str">
        <x:v>Farah Farouk</x:v>
      </x:c>
      <x:c r="G790" s="25" t="str">
        <x:v>Consumer</x:v>
      </x:c>
      <x:c r="H790" s="25" t="str">
        <x:v>Phone Order</x:v>
      </x:c>
      <x:c r="I790" s="25" t="str">
        <x:v>Furniture</x:v>
      </x:c>
      <x:c r="J790" s="25" t="str">
        <x:v>Desk</x:v>
      </x:c>
      <x:c r="K790" s="25" t="n">
        <x:v>3</x:v>
      </x:c>
      <x:c r="L790" s="26" t="n">
        <x:v>5120</x:v>
      </x:c>
      <x:c r="M790" s="27" t="n">
        <x:v>0.1</x:v>
      </x:c>
      <x:c r="N790" s="26" t="n">
        <x:f>K790*L790</x:f>
        <x:v>15360</x:v>
      </x:c>
      <x:c r="O790" s="26" t="n">
        <x:f>N790*(1-M790)</x:f>
        <x:v>13824</x:v>
      </x:c>
      <x:c r="P790" s="26" t="n">
        <x:v>4035</x:v>
      </x:c>
      <x:c r="Q790" s="26" t="n">
        <x:f>K790*P790</x:f>
        <x:v>12105</x:v>
      </x:c>
      <x:c r="R790" s="26" t="n">
        <x:f>O790-Q790</x:f>
        <x:v>1719</x:v>
      </x:c>
      <x:c r="S790" s="28" t="n">
        <x:f>IF(O790=0,0,R790/O790)</x:f>
        <x:v>0.12434895833333333</x:v>
      </x:c>
      <x:c r="T790" s="25" t="str">
        <x:v>Digital Wallet</x:v>
      </x:c>
      <x:c r="U790" s="25" t="str">
        <x:v>Cancelled</x:v>
      </x:c>
      <x:c r="V790" s="29" t="n">
        <x:v>5</x:v>
      </x:c>
    </x:row>
    <x:row r="791">
      <x:c r="A791" s="23" t="str">
        <x:v>MAN-2025-00790</x:v>
      </x:c>
      <x:c r="B791" s="24" t="n">
        <x:v>45821</x:v>
      </x:c>
      <x:c r="C791" s="25" t="str">
        <x:v>Mansoura</x:v>
      </x:c>
      <x:c r="D791" s="25" t="str">
        <x:v>Sherbin</x:v>
      </x:c>
      <x:c r="E791" s="25" t="str">
        <x:v>Salma Mansour</x:v>
      </x:c>
      <x:c r="F791" s="25" t="str">
        <x:v>Salma Sayed</x:v>
      </x:c>
      <x:c r="G791" s="25" t="str">
        <x:v>Corporate</x:v>
      </x:c>
      <x:c r="H791" s="25" t="str">
        <x:v>Mobile App</x:v>
      </x:c>
      <x:c r="I791" s="25" t="str">
        <x:v>Furniture</x:v>
      </x:c>
      <x:c r="J791" s="25" t="str">
        <x:v>Desk</x:v>
      </x:c>
      <x:c r="K791" s="25" t="n">
        <x:v>5</x:v>
      </x:c>
      <x:c r="L791" s="26" t="n">
        <x:v>5268</x:v>
      </x:c>
      <x:c r="M791" s="27" t="n">
        <x:v>0</x:v>
      </x:c>
      <x:c r="N791" s="26" t="n">
        <x:f>K791*L791</x:f>
        <x:v>26340</x:v>
      </x:c>
      <x:c r="O791" s="26" t="n">
        <x:f>N791*(1-M791)</x:f>
        <x:v>26340</x:v>
      </x:c>
      <x:c r="P791" s="26" t="n">
        <x:v>3883</x:v>
      </x:c>
      <x:c r="Q791" s="26" t="n">
        <x:f>K791*P791</x:f>
        <x:v>19415</x:v>
      </x:c>
      <x:c r="R791" s="26" t="n">
        <x:f>O791-Q791</x:f>
        <x:v>6925</x:v>
      </x:c>
      <x:c r="S791" s="28" t="n">
        <x:f>IF(O791=0,0,R791/O791)</x:f>
        <x:v>0.2629081245254366</x:v>
      </x:c>
      <x:c r="T791" s="25" t="str">
        <x:v>Debit Card</x:v>
      </x:c>
      <x:c r="U791" s="25" t="str">
        <x:v>Cancelled</x:v>
      </x:c>
      <x:c r="V791" s="29" t="n">
        <x:v>4</x:v>
      </x:c>
    </x:row>
    <x:row r="792">
      <x:c r="A792" s="23" t="str">
        <x:v>MAN-2025-00791</x:v>
      </x:c>
      <x:c r="B792" s="24" t="n">
        <x:v>46002</x:v>
      </x:c>
      <x:c r="C792" s="25" t="str">
        <x:v>Mansoura</x:v>
      </x:c>
      <x:c r="D792" s="25" t="str">
        <x:v>Mansoura City</x:v>
      </x:c>
      <x:c r="E792" s="25" t="str">
        <x:v>Ali Sayed</x:v>
      </x:c>
      <x:c r="F792" s="25" t="str">
        <x:v>Nour Fathy</x:v>
      </x:c>
      <x:c r="G792" s="25" t="str">
        <x:v>Consumer</x:v>
      </x:c>
      <x:c r="H792" s="25" t="str">
        <x:v>Phone Order</x:v>
      </x:c>
      <x:c r="I792" s="25" t="str">
        <x:v>Home Appliances</x:v>
      </x:c>
      <x:c r="J792" s="25" t="str">
        <x:v>Washing Machine</x:v>
      </x:c>
      <x:c r="K792" s="25" t="n">
        <x:v>5</x:v>
      </x:c>
      <x:c r="L792" s="26" t="n">
        <x:v>15347</x:v>
      </x:c>
      <x:c r="M792" s="27" t="n">
        <x:v>0</x:v>
      </x:c>
      <x:c r="N792" s="26" t="n">
        <x:f>K792*L792</x:f>
        <x:v>76735</x:v>
      </x:c>
      <x:c r="O792" s="26" t="n">
        <x:f>N792*(1-M792)</x:f>
        <x:v>76735</x:v>
      </x:c>
      <x:c r="P792" s="26" t="n">
        <x:v>14305</x:v>
      </x:c>
      <x:c r="Q792" s="26" t="n">
        <x:f>K792*P792</x:f>
        <x:v>71525</x:v>
      </x:c>
      <x:c r="R792" s="26" t="n">
        <x:f>O792-Q792</x:f>
        <x:v>5210</x:v>
      </x:c>
      <x:c r="S792" s="28" t="n">
        <x:f>IF(O792=0,0,R792/O792)</x:f>
        <x:v>0.06789600573401967</x:v>
      </x:c>
      <x:c r="T792" s="25" t="str">
        <x:v>Cash</x:v>
      </x:c>
      <x:c r="U792" s="25" t="str">
        <x:v>Returned</x:v>
      </x:c>
      <x:c r="V792" s="29" t="n">
        <x:v>5</x:v>
      </x:c>
    </x:row>
    <x:row r="793">
      <x:c r="A793" s="23" t="str">
        <x:v>MAN-2025-00792</x:v>
      </x:c>
      <x:c r="B793" s="24" t="n">
        <x:v>45983</x:v>
      </x:c>
      <x:c r="C793" s="25" t="str">
        <x:v>Mansoura</x:v>
      </x:c>
      <x:c r="D793" s="25" t="str">
        <x:v>Sherbin</x:v>
      </x:c>
      <x:c r="E793" s="25" t="str">
        <x:v>Salma Mansour</x:v>
      </x:c>
      <x:c r="F793" s="25" t="str">
        <x:v>Mostafa Khalil</x:v>
      </x:c>
      <x:c r="G793" s="25" t="str">
        <x:v>Small Business</x:v>
      </x:c>
      <x:c r="H793" s="25" t="str">
        <x:v>Phone Order</x:v>
      </x:c>
      <x:c r="I793" s="25" t="str">
        <x:v>Electronics</x:v>
      </x:c>
      <x:c r="J793" s="25" t="str">
        <x:v>Laptop</x:v>
      </x:c>
      <x:c r="K793" s="25" t="n">
        <x:v>1</x:v>
      </x:c>
      <x:c r="L793" s="26" t="n">
        <x:v>24803</x:v>
      </x:c>
      <x:c r="M793" s="27" t="n">
        <x:v>0</x:v>
      </x:c>
      <x:c r="N793" s="26" t="n">
        <x:f>K793*L793</x:f>
        <x:v>24803</x:v>
      </x:c>
      <x:c r="O793" s="26" t="n">
        <x:f>N793*(1-M793)</x:f>
        <x:v>24803</x:v>
      </x:c>
      <x:c r="P793" s="26" t="n">
        <x:v>20693</x:v>
      </x:c>
      <x:c r="Q793" s="26" t="n">
        <x:f>K793*P793</x:f>
        <x:v>20693</x:v>
      </x:c>
      <x:c r="R793" s="26" t="n">
        <x:f>O793-Q793</x:f>
        <x:v>4110</x:v>
      </x:c>
      <x:c r="S793" s="28" t="n">
        <x:f>IF(O793=0,0,R793/O793)</x:f>
        <x:v>0.16570576139983068</x:v>
      </x:c>
      <x:c r="T793" s="25" t="str">
        <x:v>Bank Transfer</x:v>
      </x:c>
      <x:c r="U793" s="25" t="str">
        <x:v>Cancelled</x:v>
      </x:c>
      <x:c r="V793" s="29" t="n">
        <x:v>5</x:v>
      </x:c>
    </x:row>
    <x:row r="794">
      <x:c r="A794" s="23" t="str">
        <x:v>MAN-2025-00793</x:v>
      </x:c>
      <x:c r="B794" s="24" t="n">
        <x:v>45762</x:v>
      </x:c>
      <x:c r="C794" s="25" t="str">
        <x:v>Mansoura</x:v>
      </x:c>
      <x:c r="D794" s="25" t="str">
        <x:v>Mit Ghamr</x:v>
      </x:c>
      <x:c r="E794" s="25" t="str">
        <x:v>Ali Sayed</x:v>
      </x:c>
      <x:c r="F794" s="25" t="str">
        <x:v>Ali Adel</x:v>
      </x:c>
      <x:c r="G794" s="25" t="str">
        <x:v>Small Business</x:v>
      </x:c>
      <x:c r="H794" s="25" t="str">
        <x:v>Website</x:v>
      </x:c>
      <x:c r="I794" s="25" t="str">
        <x:v>Electronics</x:v>
      </x:c>
      <x:c r="J794" s="25" t="str">
        <x:v>Tablet</x:v>
      </x:c>
      <x:c r="K794" s="25" t="n">
        <x:v>1</x:v>
      </x:c>
      <x:c r="L794" s="26" t="n">
        <x:v>9105</x:v>
      </x:c>
      <x:c r="M794" s="27" t="n">
        <x:v>0</x:v>
      </x:c>
      <x:c r="N794" s="26" t="n">
        <x:f>K794*L794</x:f>
        <x:v>9105</x:v>
      </x:c>
      <x:c r="O794" s="26" t="n">
        <x:f>N794*(1-M794)</x:f>
        <x:v>9105</x:v>
      </x:c>
      <x:c r="P794" s="26" t="n">
        <x:v>7359</x:v>
      </x:c>
      <x:c r="Q794" s="26" t="n">
        <x:f>K794*P794</x:f>
        <x:v>7359</x:v>
      </x:c>
      <x:c r="R794" s="26" t="n">
        <x:f>O794-Q794</x:f>
        <x:v>1746</x:v>
      </x:c>
      <x:c r="S794" s="28" t="n">
        <x:f>IF(O794=0,0,R794/O794)</x:f>
        <x:v>0.19176276771004944</x:v>
      </x:c>
      <x:c r="T794" s="25" t="str">
        <x:v>Bank Transfer</x:v>
      </x:c>
      <x:c r="U794" s="25" t="str">
        <x:v>Returned</x:v>
      </x:c>
      <x:c r="V794" s="29" t="n">
        <x:v>4</x:v>
      </x:c>
    </x:row>
    <x:row r="795">
      <x:c r="A795" s="23" t="str">
        <x:v>MAN-2025-00794</x:v>
      </x:c>
      <x:c r="B795" s="24" t="n">
        <x:v>45674</x:v>
      </x:c>
      <x:c r="C795" s="25" t="str">
        <x:v>Mansoura</x:v>
      </x:c>
      <x:c r="D795" s="25" t="str">
        <x:v>Aga</x:v>
      </x:c>
      <x:c r="E795" s="25" t="str">
        <x:v>Salma Mansour</x:v>
      </x:c>
      <x:c r="F795" s="25" t="str">
        <x:v>Mariam Khalil</x:v>
      </x:c>
      <x:c r="G795" s="25" t="str">
        <x:v>Consumer</x:v>
      </x:c>
      <x:c r="H795" s="25" t="str">
        <x:v>Phone Order</x:v>
      </x:c>
      <x:c r="I795" s="25" t="str">
        <x:v>Furniture</x:v>
      </x:c>
      <x:c r="J795" s="25" t="str">
        <x:v>Office Chair</x:v>
      </x:c>
      <x:c r="K795" s="25" t="n">
        <x:v>6</x:v>
      </x:c>
      <x:c r="L795" s="26" t="n">
        <x:v>4021</x:v>
      </x:c>
      <x:c r="M795" s="27" t="n">
        <x:v>0.1</x:v>
      </x:c>
      <x:c r="N795" s="26" t="n">
        <x:f>K795*L795</x:f>
        <x:v>24126</x:v>
      </x:c>
      <x:c r="O795" s="26" t="n">
        <x:f>N795*(1-M795)</x:f>
        <x:v>21713.4</x:v>
      </x:c>
      <x:c r="P795" s="26" t="n">
        <x:v>2823</x:v>
      </x:c>
      <x:c r="Q795" s="26" t="n">
        <x:f>K795*P795</x:f>
        <x:v>16938</x:v>
      </x:c>
      <x:c r="R795" s="26" t="n">
        <x:f>O795-Q795</x:f>
        <x:v>4775.4000000000015</x:v>
      </x:c>
      <x:c r="S795" s="28" t="n">
        <x:f>IF(O795=0,0,R795/O795)</x:f>
        <x:v>0.2199287076183371</x:v>
      </x:c>
      <x:c r="T795" s="25" t="str">
        <x:v>Credit Card</x:v>
      </x:c>
      <x:c r="U795" s="25" t="str">
        <x:v>Completed</x:v>
      </x:c>
      <x:c r="V795" s="29" t="n">
        <x:v>5</x:v>
      </x:c>
    </x:row>
    <x:row r="796">
      <x:c r="A796" s="23" t="str">
        <x:v>MAN-2025-00795</x:v>
      </x:c>
      <x:c r="B796" s="24" t="n">
        <x:v>45919</x:v>
      </x:c>
      <x:c r="C796" s="25" t="str">
        <x:v>Mansoura</x:v>
      </x:c>
      <x:c r="D796" s="25" t="str">
        <x:v>Mansoura City</x:v>
      </x:c>
      <x:c r="E796" s="25" t="str">
        <x:v>Ali Sayed</x:v>
      </x:c>
      <x:c r="F796" s="25" t="str">
        <x:v>Sara Ibrahim</x:v>
      </x:c>
      <x:c r="G796" s="25" t="str">
        <x:v>Small Business</x:v>
      </x:c>
      <x:c r="H796" s="25" t="str">
        <x:v>Website</x:v>
      </x:c>
      <x:c r="I796" s="25" t="str">
        <x:v>Electronics</x:v>
      </x:c>
      <x:c r="J796" s="25" t="str">
        <x:v>Smartphone</x:v>
      </x:c>
      <x:c r="K796" s="25" t="n">
        <x:v>6</x:v>
      </x:c>
      <x:c r="L796" s="26" t="n">
        <x:v>12187</x:v>
      </x:c>
      <x:c r="M796" s="27" t="n">
        <x:v>0.15</x:v>
      </x:c>
      <x:c r="N796" s="26" t="n">
        <x:f>K796*L796</x:f>
        <x:v>73122</x:v>
      </x:c>
      <x:c r="O796" s="26" t="n">
        <x:f>N796*(1-M796)</x:f>
        <x:v>62153.7</x:v>
      </x:c>
      <x:c r="P796" s="26" t="n">
        <x:v>10981</x:v>
      </x:c>
      <x:c r="Q796" s="26" t="n">
        <x:f>K796*P796</x:f>
        <x:v>65886</x:v>
      </x:c>
      <x:c r="R796" s="26" t="n">
        <x:f>O796-Q796</x:f>
        <x:v>-3732.300000000003</x:v>
      </x:c>
      <x:c r="S796" s="28" t="n">
        <x:f>IF(O796=0,0,R796/O796)</x:f>
        <x:v>-0.060049522393678945</x:v>
      </x:c>
      <x:c r="T796" s="25" t="str">
        <x:v>Credit Card</x:v>
      </x:c>
      <x:c r="U796" s="25" t="str">
        <x:v>Completed</x:v>
      </x:c>
      <x:c r="V796" s="29" t="n">
        <x:v>5</x:v>
      </x:c>
    </x:row>
    <x:row r="797">
      <x:c r="A797" s="23" t="str">
        <x:v>MAN-2025-00796</x:v>
      </x:c>
      <x:c r="B797" s="24" t="n">
        <x:v>45745</x:v>
      </x:c>
      <x:c r="C797" s="25" t="str">
        <x:v>Mansoura</x:v>
      </x:c>
      <x:c r="D797" s="25" t="str">
        <x:v>Mit Ghamr</x:v>
      </x:c>
      <x:c r="E797" s="25" t="str">
        <x:v>Aya Farouk</x:v>
      </x:c>
      <x:c r="F797" s="25" t="str">
        <x:v>Aya Hassan</x:v>
      </x:c>
      <x:c r="G797" s="25" t="str">
        <x:v>Consumer</x:v>
      </x:c>
      <x:c r="H797" s="25" t="str">
        <x:v>Website</x:v>
      </x:c>
      <x:c r="I797" s="25" t="str">
        <x:v>Furniture</x:v>
      </x:c>
      <x:c r="J797" s="25" t="str">
        <x:v>Bookshelf</x:v>
      </x:c>
      <x:c r="K797" s="25" t="n">
        <x:v>2</x:v>
      </x:c>
      <x:c r="L797" s="26" t="n">
        <x:v>2915</x:v>
      </x:c>
      <x:c r="M797" s="27" t="n">
        <x:v>0</x:v>
      </x:c>
      <x:c r="N797" s="26" t="n">
        <x:f>K797*L797</x:f>
        <x:v>5830</x:v>
      </x:c>
      <x:c r="O797" s="26" t="n">
        <x:f>N797*(1-M797)</x:f>
        <x:v>5830</x:v>
      </x:c>
      <x:c r="P797" s="26" t="n">
        <x:v>2144</x:v>
      </x:c>
      <x:c r="Q797" s="26" t="n">
        <x:f>K797*P797</x:f>
        <x:v>4288</x:v>
      </x:c>
      <x:c r="R797" s="26" t="n">
        <x:f>O797-Q797</x:f>
        <x:v>1542</x:v>
      </x:c>
      <x:c r="S797" s="28" t="n">
        <x:f>IF(O797=0,0,R797/O797)</x:f>
        <x:v>0.26449399656946826</x:v>
      </x:c>
      <x:c r="T797" s="25" t="str">
        <x:v>Credit Card</x:v>
      </x:c>
      <x:c r="U797" s="25" t="str">
        <x:v>Completed</x:v>
      </x:c>
      <x:c r="V797" s="29" t="n">
        <x:v>3</x:v>
      </x:c>
    </x:row>
    <x:row r="798">
      <x:c r="A798" s="23" t="str">
        <x:v>MAN-2025-00797</x:v>
      </x:c>
      <x:c r="B798" s="24" t="n">
        <x:v>45868</x:v>
      </x:c>
      <x:c r="C798" s="25" t="str">
        <x:v>Mansoura</x:v>
      </x:c>
      <x:c r="D798" s="25" t="str">
        <x:v>Mansoura City</x:v>
      </x:c>
      <x:c r="E798" s="25" t="str">
        <x:v>Ali Sayed</x:v>
      </x:c>
      <x:c r="F798" s="25" t="str">
        <x:v>Mohamed Fathy</x:v>
      </x:c>
      <x:c r="G798" s="25" t="str">
        <x:v>Corporate</x:v>
      </x:c>
      <x:c r="H798" s="25" t="str">
        <x:v>Mobile App</x:v>
      </x:c>
      <x:c r="I798" s="25" t="str">
        <x:v>Furniture</x:v>
      </x:c>
      <x:c r="J798" s="25" t="str">
        <x:v>Sofa</x:v>
      </x:c>
      <x:c r="K798" s="25" t="n">
        <x:v>3</x:v>
      </x:c>
      <x:c r="L798" s="26" t="n">
        <x:v>13774</x:v>
      </x:c>
      <x:c r="M798" s="27" t="n">
        <x:v>0.1</x:v>
      </x:c>
      <x:c r="N798" s="26" t="n">
        <x:f>K798*L798</x:f>
        <x:v>41322</x:v>
      </x:c>
      <x:c r="O798" s="26" t="n">
        <x:f>N798*(1-M798)</x:f>
        <x:v>37189.8</x:v>
      </x:c>
      <x:c r="P798" s="26" t="n">
        <x:v>11116</x:v>
      </x:c>
      <x:c r="Q798" s="26" t="n">
        <x:f>K798*P798</x:f>
        <x:v>33348</x:v>
      </x:c>
      <x:c r="R798" s="26" t="n">
        <x:f>O798-Q798</x:f>
        <x:v>3841.800000000003</x:v>
      </x:c>
      <x:c r="S798" s="28" t="n">
        <x:f>IF(O798=0,0,R798/O798)</x:f>
        <x:v>0.10330251843247348</x:v>
      </x:c>
      <x:c r="T798" s="25" t="str">
        <x:v>Digital Wallet</x:v>
      </x:c>
      <x:c r="U798" s="25" t="str">
        <x:v>Completed</x:v>
      </x:c>
      <x:c r="V798" s="29" t="n">
        <x:v>4</x:v>
      </x:c>
    </x:row>
    <x:row r="799">
      <x:c r="A799" s="23" t="str">
        <x:v>MAN-2025-00798</x:v>
      </x:c>
      <x:c r="B799" s="24" t="n">
        <x:v>45741</x:v>
      </x:c>
      <x:c r="C799" s="25" t="str">
        <x:v>Mansoura</x:v>
      </x:c>
      <x:c r="D799" s="25" t="str">
        <x:v>Aga</x:v>
      </x:c>
      <x:c r="E799" s="25" t="str">
        <x:v>Youssef Fathy</x:v>
      </x:c>
      <x:c r="F799" s="25" t="str">
        <x:v>Hana Mansour</x:v>
      </x:c>
      <x:c r="G799" s="25" t="str">
        <x:v>Consumer</x:v>
      </x:c>
      <x:c r="H799" s="25" t="str">
        <x:v>Retail Store</x:v>
      </x:c>
      <x:c r="I799" s="25" t="str">
        <x:v>Electronics</x:v>
      </x:c>
      <x:c r="J799" s="25" t="str">
        <x:v>Smartphone</x:v>
      </x:c>
      <x:c r="K799" s="25" t="n">
        <x:v>4</x:v>
      </x:c>
      <x:c r="L799" s="26" t="n">
        <x:v>13632</x:v>
      </x:c>
      <x:c r="M799" s="27" t="n">
        <x:v>0.05</x:v>
      </x:c>
      <x:c r="N799" s="26" t="n">
        <x:f>K799*L799</x:f>
        <x:v>54528</x:v>
      </x:c>
      <x:c r="O799" s="26" t="n">
        <x:f>N799*(1-M799)</x:f>
        <x:v>51801.6</x:v>
      </x:c>
      <x:c r="P799" s="26" t="n">
        <x:v>10529</x:v>
      </x:c>
      <x:c r="Q799" s="26" t="n">
        <x:f>K799*P799</x:f>
        <x:v>42116</x:v>
      </x:c>
      <x:c r="R799" s="26" t="n">
        <x:f>O799-Q799</x:f>
        <x:v>9685.599999999999</x:v>
      </x:c>
      <x:c r="S799" s="28" t="n">
        <x:f>IF(O799=0,0,R799/O799)</x:f>
        <x:v>0.18697491969360017</x:v>
      </x:c>
      <x:c r="T799" s="25" t="str">
        <x:v>Credit Card</x:v>
      </x:c>
      <x:c r="U799" s="25" t="str">
        <x:v>Completed</x:v>
      </x:c>
      <x:c r="V799" s="29" t="n">
        <x:v>5</x:v>
      </x:c>
    </x:row>
    <x:row r="800">
      <x:c r="A800" s="23" t="str">
        <x:v>MAN-2025-00799</x:v>
      </x:c>
      <x:c r="B800" s="24" t="n">
        <x:v>45780</x:v>
      </x:c>
      <x:c r="C800" s="25" t="str">
        <x:v>Mansoura</x:v>
      </x:c>
      <x:c r="D800" s="25" t="str">
        <x:v>Talkha</x:v>
      </x:c>
      <x:c r="E800" s="25" t="str">
        <x:v>Aya Farouk</x:v>
      </x:c>
      <x:c r="F800" s="25" t="str">
        <x:v>Youssef Fathy</x:v>
      </x:c>
      <x:c r="G800" s="25" t="str">
        <x:v>Corporate</x:v>
      </x:c>
      <x:c r="H800" s="25" t="str">
        <x:v>Website</x:v>
      </x:c>
      <x:c r="I800" s="25" t="str">
        <x:v>Home Appliances</x:v>
      </x:c>
      <x:c r="J800" s="25" t="str">
        <x:v>Air Conditioner</x:v>
      </x:c>
      <x:c r="K800" s="25" t="n">
        <x:v>3</x:v>
      </x:c>
      <x:c r="L800" s="26" t="n">
        <x:v>21895</x:v>
      </x:c>
      <x:c r="M800" s="27" t="n">
        <x:v>0.05</x:v>
      </x:c>
      <x:c r="N800" s="26" t="n">
        <x:f>K800*L800</x:f>
        <x:v>65685</x:v>
      </x:c>
      <x:c r="O800" s="26" t="n">
        <x:f>N800*(1-M800)</x:f>
        <x:v>62400.75</x:v>
      </x:c>
      <x:c r="P800" s="26" t="n">
        <x:v>17964</x:v>
      </x:c>
      <x:c r="Q800" s="26" t="n">
        <x:f>K800*P800</x:f>
        <x:v>53892</x:v>
      </x:c>
      <x:c r="R800" s="26" t="n">
        <x:f>O800-Q800</x:f>
        <x:v>8508.75</x:v>
      </x:c>
      <x:c r="S800" s="28" t="n">
        <x:f>IF(O800=0,0,R800/O800)</x:f>
        <x:v>0.13635653417627192</x:v>
      </x:c>
      <x:c r="T800" s="25" t="str">
        <x:v>Credit Card</x:v>
      </x:c>
      <x:c r="U800" s="25" t="str">
        <x:v>Completed</x:v>
      </x:c>
      <x:c r="V800" s="29" t="n">
        <x:v>4</x:v>
      </x:c>
    </x:row>
    <x:row r="801">
      <x:c r="A801" s="23" t="str">
        <x:v>MAN-2025-00800</x:v>
      </x:c>
      <x:c r="B801" s="24" t="n">
        <x:v>45977</x:v>
      </x:c>
      <x:c r="C801" s="25" t="str">
        <x:v>Mansoura</x:v>
      </x:c>
      <x:c r="D801" s="25" t="str">
        <x:v>Sherbin</x:v>
      </x:c>
      <x:c r="E801" s="25" t="str">
        <x:v>Youssef Fathy</x:v>
      </x:c>
      <x:c r="F801" s="25" t="str">
        <x:v>Nour Nasser</x:v>
      </x:c>
      <x:c r="G801" s="25" t="str">
        <x:v>Corporate</x:v>
      </x:c>
      <x:c r="H801" s="25" t="str">
        <x:v>Phone Order</x:v>
      </x:c>
      <x:c r="I801" s="25" t="str">
        <x:v>Home Appliances</x:v>
      </x:c>
      <x:c r="J801" s="25" t="str">
        <x:v>Blender</x:v>
      </x:c>
      <x:c r="K801" s="25" t="n">
        <x:v>2</x:v>
      </x:c>
      <x:c r="L801" s="26" t="n">
        <x:v>1707</x:v>
      </x:c>
      <x:c r="M801" s="27" t="n">
        <x:v>0.1</x:v>
      </x:c>
      <x:c r="N801" s="26" t="n">
        <x:f>K801*L801</x:f>
        <x:v>3414</x:v>
      </x:c>
      <x:c r="O801" s="26" t="n">
        <x:f>N801*(1-M801)</x:f>
        <x:v>3072.6</x:v>
      </x:c>
      <x:c r="P801" s="26" t="n">
        <x:v>1294</x:v>
      </x:c>
      <x:c r="Q801" s="26" t="n">
        <x:f>K801*P801</x:f>
        <x:v>2588</x:v>
      </x:c>
      <x:c r="R801" s="26" t="n">
        <x:f>O801-Q801</x:f>
        <x:v>484.5999999999999</x:v>
      </x:c>
      <x:c r="S801" s="28" t="n">
        <x:f>IF(O801=0,0,R801/O801)</x:f>
        <x:v>0.15771659181149514</x:v>
      </x:c>
      <x:c r="T801" s="25" t="str">
        <x:v>Bank Transfer</x:v>
      </x:c>
      <x:c r="U801" s="25" t="str">
        <x:v>Returned</x:v>
      </x:c>
      <x:c r="V801" s="29" t="n">
        <x:v>5</x:v>
      </x:c>
    </x:row>
    <x:row r="802">
      <x:c r="A802" s="23" t="str">
        <x:v>MAN-2025-00801</x:v>
      </x:c>
      <x:c r="B802" s="24" t="n">
        <x:v>45862</x:v>
      </x:c>
      <x:c r="C802" s="25" t="str">
        <x:v>Mansoura</x:v>
      </x:c>
      <x:c r="D802" s="25" t="str">
        <x:v>Mit Ghamr</x:v>
      </x:c>
      <x:c r="E802" s="25" t="str">
        <x:v>Aya Farouk</x:v>
      </x:c>
      <x:c r="F802" s="25" t="str">
        <x:v>Aya Farouk</x:v>
      </x:c>
      <x:c r="G802" s="25" t="str">
        <x:v>Consumer</x:v>
      </x:c>
      <x:c r="H802" s="25" t="str">
        <x:v>Mobile App</x:v>
      </x:c>
      <x:c r="I802" s="25" t="str">
        <x:v>Home Appliances</x:v>
      </x:c>
      <x:c r="J802" s="25" t="str">
        <x:v>Microwave</x:v>
      </x:c>
      <x:c r="K802" s="25" t="n">
        <x:v>1</x:v>
      </x:c>
      <x:c r="L802" s="26" t="n">
        <x:v>5363</x:v>
      </x:c>
      <x:c r="M802" s="27" t="n">
        <x:v>0</x:v>
      </x:c>
      <x:c r="N802" s="26" t="n">
        <x:f>K802*L802</x:f>
        <x:v>5363</x:v>
      </x:c>
      <x:c r="O802" s="26" t="n">
        <x:f>N802*(1-M802)</x:f>
        <x:v>5363</x:v>
      </x:c>
      <x:c r="P802" s="26" t="n">
        <x:v>4549</x:v>
      </x:c>
      <x:c r="Q802" s="26" t="n">
        <x:f>K802*P802</x:f>
        <x:v>4549</x:v>
      </x:c>
      <x:c r="R802" s="26" t="n">
        <x:f>O802-Q802</x:f>
        <x:v>814</x:v>
      </x:c>
      <x:c r="S802" s="28" t="n">
        <x:f>IF(O802=0,0,R802/O802)</x:f>
        <x:v>0.15178071974641058</x:v>
      </x:c>
      <x:c r="T802" s="25" t="str">
        <x:v>Digital Wallet</x:v>
      </x:c>
      <x:c r="U802" s="25" t="str">
        <x:v>Completed</x:v>
      </x:c>
      <x:c r="V802" s="29" t="n">
        <x:v>4</x:v>
      </x:c>
    </x:row>
    <x:row r="803">
      <x:c r="A803" s="23" t="str">
        <x:v>MAN-2025-00802</x:v>
      </x:c>
      <x:c r="B803" s="24" t="n">
        <x:v>45812</x:v>
      </x:c>
      <x:c r="C803" s="25" t="str">
        <x:v>Mansoura</x:v>
      </x:c>
      <x:c r="D803" s="25" t="str">
        <x:v>Aga</x:v>
      </x:c>
      <x:c r="E803" s="25" t="str">
        <x:v>Youssef Fathy</x:v>
      </x:c>
      <x:c r="F803" s="25" t="str">
        <x:v>Youssef Gamal</x:v>
      </x:c>
      <x:c r="G803" s="25" t="str">
        <x:v>Small Business</x:v>
      </x:c>
      <x:c r="H803" s="25" t="str">
        <x:v>Phone Order</x:v>
      </x:c>
      <x:c r="I803" s="25" t="str">
        <x:v>Furniture</x:v>
      </x:c>
      <x:c r="J803" s="25" t="str">
        <x:v>Desk</x:v>
      </x:c>
      <x:c r="K803" s="25" t="n">
        <x:v>1</x:v>
      </x:c>
      <x:c r="L803" s="26" t="n">
        <x:v>5308</x:v>
      </x:c>
      <x:c r="M803" s="27" t="n">
        <x:v>0.15</x:v>
      </x:c>
      <x:c r="N803" s="26" t="n">
        <x:f>K803*L803</x:f>
        <x:v>5308</x:v>
      </x:c>
      <x:c r="O803" s="26" t="n">
        <x:f>N803*(1-M803)</x:f>
        <x:v>4511.8</x:v>
      </x:c>
      <x:c r="P803" s="26" t="n">
        <x:v>3910</x:v>
      </x:c>
      <x:c r="Q803" s="26" t="n">
        <x:f>K803*P803</x:f>
        <x:v>3910</x:v>
      </x:c>
      <x:c r="R803" s="26" t="n">
        <x:f>O803-Q803</x:f>
        <x:v>601.8000000000002</x:v>
      </x:c>
      <x:c r="S803" s="28" t="n">
        <x:f>IF(O803=0,0,R803/O803)</x:f>
        <x:v>0.13338357196684253</x:v>
      </x:c>
      <x:c r="T803" s="25" t="str">
        <x:v>Debit Card</x:v>
      </x:c>
      <x:c r="U803" s="25" t="str">
        <x:v>Cancelled</x:v>
      </x:c>
      <x:c r="V803" s="29" t="n">
        <x:v>3</x:v>
      </x:c>
    </x:row>
    <x:row r="804">
      <x:c r="A804" s="23" t="str">
        <x:v>MAN-2025-00803</x:v>
      </x:c>
      <x:c r="B804" s="24" t="n">
        <x:v>45677</x:v>
      </x:c>
      <x:c r="C804" s="25" t="str">
        <x:v>Mansoura</x:v>
      </x:c>
      <x:c r="D804" s="25" t="str">
        <x:v>Mit Ghamr</x:v>
      </x:c>
      <x:c r="E804" s="25" t="str">
        <x:v>Aya Farouk</x:v>
      </x:c>
      <x:c r="F804" s="25" t="str">
        <x:v>Salma Fathy</x:v>
      </x:c>
      <x:c r="G804" s="25" t="str">
        <x:v>Consumer</x:v>
      </x:c>
      <x:c r="H804" s="25" t="str">
        <x:v>Retail Store</x:v>
      </x:c>
      <x:c r="I804" s="25" t="str">
        <x:v>Furniture</x:v>
      </x:c>
      <x:c r="J804" s="25" t="str">
        <x:v>Office Chair</x:v>
      </x:c>
      <x:c r="K804" s="25" t="n">
        <x:v>3</x:v>
      </x:c>
      <x:c r="L804" s="26" t="n">
        <x:v>3614</x:v>
      </x:c>
      <x:c r="M804" s="27" t="n">
        <x:v>0.05</x:v>
      </x:c>
      <x:c r="N804" s="26" t="n">
        <x:f>K804*L804</x:f>
        <x:v>10842</x:v>
      </x:c>
      <x:c r="O804" s="26" t="n">
        <x:f>N804*(1-M804)</x:f>
        <x:v>10299.9</x:v>
      </x:c>
      <x:c r="P804" s="26" t="n">
        <x:v>2961</x:v>
      </x:c>
      <x:c r="Q804" s="26" t="n">
        <x:f>K804*P804</x:f>
        <x:v>8883</x:v>
      </x:c>
      <x:c r="R804" s="26" t="n">
        <x:f>O804-Q804</x:f>
        <x:v>1416.8999999999996</x:v>
      </x:c>
      <x:c r="S804" s="28" t="n">
        <x:f>IF(O804=0,0,R804/O804)</x:f>
        <x:v>0.1375644423732269</x:v>
      </x:c>
      <x:c r="T804" s="25" t="str">
        <x:v>Credit Card</x:v>
      </x:c>
      <x:c r="U804" s="25" t="str">
        <x:v>Completed</x:v>
      </x:c>
      <x:c r="V804" s="29" t="n">
        <x:v>3</x:v>
      </x:c>
    </x:row>
    <x:row r="805">
      <x:c r="A805" s="23" t="str">
        <x:v>MAN-2025-00804</x:v>
      </x:c>
      <x:c r="B805" s="24" t="n">
        <x:v>45841</x:v>
      </x:c>
      <x:c r="C805" s="25" t="str">
        <x:v>Mansoura</x:v>
      </x:c>
      <x:c r="D805" s="25" t="str">
        <x:v>Sherbin</x:v>
      </x:c>
      <x:c r="E805" s="25" t="str">
        <x:v>Ali Sayed</x:v>
      </x:c>
      <x:c r="F805" s="25" t="str">
        <x:v>Ali Khalil</x:v>
      </x:c>
      <x:c r="G805" s="25" t="str">
        <x:v>Consumer</x:v>
      </x:c>
      <x:c r="H805" s="25" t="str">
        <x:v>Retail Store</x:v>
      </x:c>
      <x:c r="I805" s="25" t="str">
        <x:v>Electronics</x:v>
      </x:c>
      <x:c r="J805" s="25" t="str">
        <x:v>Headphones</x:v>
      </x:c>
      <x:c r="K805" s="25" t="n">
        <x:v>1</x:v>
      </x:c>
      <x:c r="L805" s="26" t="n">
        <x:v>1594</x:v>
      </x:c>
      <x:c r="M805" s="27" t="n">
        <x:v>0</x:v>
      </x:c>
      <x:c r="N805" s="26" t="n">
        <x:f>K805*L805</x:f>
        <x:v>1594</x:v>
      </x:c>
      <x:c r="O805" s="26" t="n">
        <x:f>N805*(1-M805)</x:f>
        <x:v>1594</x:v>
      </x:c>
      <x:c r="P805" s="26" t="n">
        <x:v>1083</x:v>
      </x:c>
      <x:c r="Q805" s="26" t="n">
        <x:f>K805*P805</x:f>
        <x:v>1083</x:v>
      </x:c>
      <x:c r="R805" s="26" t="n">
        <x:f>O805-Q805</x:f>
        <x:v>511</x:v>
      </x:c>
      <x:c r="S805" s="28" t="n">
        <x:f>IF(O805=0,0,R805/O805)</x:f>
        <x:v>0.3205771643663739</x:v>
      </x:c>
      <x:c r="T805" s="25" t="str">
        <x:v>Credit Card</x:v>
      </x:c>
      <x:c r="U805" s="25" t="str">
        <x:v>Cancelled</x:v>
      </x:c>
      <x:c r="V805" s="29" t="n">
        <x:v>5</x:v>
      </x:c>
    </x:row>
    <x:row r="806">
      <x:c r="A806" s="23" t="str">
        <x:v>MAN-2025-00805</x:v>
      </x:c>
      <x:c r="B806" s="24" t="n">
        <x:v>45924</x:v>
      </x:c>
      <x:c r="C806" s="25" t="str">
        <x:v>Mansoura</x:v>
      </x:c>
      <x:c r="D806" s="25" t="str">
        <x:v>Aga</x:v>
      </x:c>
      <x:c r="E806" s="25" t="str">
        <x:v>Ali Sayed</x:v>
      </x:c>
      <x:c r="F806" s="25" t="str">
        <x:v>Mariam Ibrahim</x:v>
      </x:c>
      <x:c r="G806" s="25" t="str">
        <x:v>Consumer</x:v>
      </x:c>
      <x:c r="H806" s="25" t="str">
        <x:v>Phone Order</x:v>
      </x:c>
      <x:c r="I806" s="25" t="str">
        <x:v>Furniture</x:v>
      </x:c>
      <x:c r="J806" s="25" t="str">
        <x:v>Desk</x:v>
      </x:c>
      <x:c r="K806" s="25" t="n">
        <x:v>5</x:v>
      </x:c>
      <x:c r="L806" s="26" t="n">
        <x:v>5329</x:v>
      </x:c>
      <x:c r="M806" s="27" t="n">
        <x:v>0</x:v>
      </x:c>
      <x:c r="N806" s="26" t="n">
        <x:f>K806*L806</x:f>
        <x:v>26645</x:v>
      </x:c>
      <x:c r="O806" s="26" t="n">
        <x:f>N806*(1-M806)</x:f>
        <x:v>26645</x:v>
      </x:c>
      <x:c r="P806" s="26" t="n">
        <x:v>4005</x:v>
      </x:c>
      <x:c r="Q806" s="26" t="n">
        <x:f>K806*P806</x:f>
        <x:v>20025</x:v>
      </x:c>
      <x:c r="R806" s="26" t="n">
        <x:f>O806-Q806</x:f>
        <x:v>6620</x:v>
      </x:c>
      <x:c r="S806" s="28" t="n">
        <x:f>IF(O806=0,0,R806/O806)</x:f>
        <x:v>0.24845186714205292</x:v>
      </x:c>
      <x:c r="T806" s="25" t="str">
        <x:v>Digital Wallet</x:v>
      </x:c>
      <x:c r="U806" s="25" t="str">
        <x:v>Completed</x:v>
      </x:c>
      <x:c r="V806" s="29" t="n">
        <x:v>4</x:v>
      </x:c>
    </x:row>
    <x:row r="807">
      <x:c r="A807" s="23" t="str">
        <x:v>MAN-2025-00806</x:v>
      </x:c>
      <x:c r="B807" s="24" t="n">
        <x:v>45789</x:v>
      </x:c>
      <x:c r="C807" s="25" t="str">
        <x:v>Mansoura</x:v>
      </x:c>
      <x:c r="D807" s="25" t="str">
        <x:v>Sherbin</x:v>
      </x:c>
      <x:c r="E807" s="25" t="str">
        <x:v>Aya Farouk</x:v>
      </x:c>
      <x:c r="F807" s="25" t="str">
        <x:v>Sara Nasser</x:v>
      </x:c>
      <x:c r="G807" s="25" t="str">
        <x:v>Corporate</x:v>
      </x:c>
      <x:c r="H807" s="25" t="str">
        <x:v>Retail Store</x:v>
      </x:c>
      <x:c r="I807" s="25" t="str">
        <x:v>Electronics</x:v>
      </x:c>
      <x:c r="J807" s="25" t="str">
        <x:v>Laptop</x:v>
      </x:c>
      <x:c r="K807" s="25" t="n">
        <x:v>2</x:v>
      </x:c>
      <x:c r="L807" s="26" t="n">
        <x:v>24188</x:v>
      </x:c>
      <x:c r="M807" s="27" t="n">
        <x:v>0.15</x:v>
      </x:c>
      <x:c r="N807" s="26" t="n">
        <x:f>K807*L807</x:f>
        <x:v>48376</x:v>
      </x:c>
      <x:c r="O807" s="26" t="n">
        <x:f>N807*(1-M807)</x:f>
        <x:v>41119.6</x:v>
      </x:c>
      <x:c r="P807" s="26" t="n">
        <x:v>21310</x:v>
      </x:c>
      <x:c r="Q807" s="26" t="n">
        <x:f>K807*P807</x:f>
        <x:v>42620</x:v>
      </x:c>
      <x:c r="R807" s="26" t="n">
        <x:f>O807-Q807</x:f>
        <x:v>-1500.4000000000015</x:v>
      </x:c>
      <x:c r="S807" s="28" t="n">
        <x:f>IF(O807=0,0,R807/O807)</x:f>
        <x:v>-0.036488681796515564</x:v>
      </x:c>
      <x:c r="T807" s="25" t="str">
        <x:v>Cash</x:v>
      </x:c>
      <x:c r="U807" s="25" t="str">
        <x:v>Completed</x:v>
      </x:c>
      <x:c r="V807" s="29" t="n">
        <x:v>4</x:v>
      </x:c>
    </x:row>
    <x:row r="808">
      <x:c r="A808" s="23" t="str">
        <x:v>MAN-2025-00807</x:v>
      </x:c>
      <x:c r="B808" s="24" t="n">
        <x:v>45668</x:v>
      </x:c>
      <x:c r="C808" s="25" t="str">
        <x:v>Mansoura</x:v>
      </x:c>
      <x:c r="D808" s="25" t="str">
        <x:v>Mit Ghamr</x:v>
      </x:c>
      <x:c r="E808" s="25" t="str">
        <x:v>Ali Sayed</x:v>
      </x:c>
      <x:c r="F808" s="25" t="str">
        <x:v>Hana Hassan</x:v>
      </x:c>
      <x:c r="G808" s="25" t="str">
        <x:v>Small Business</x:v>
      </x:c>
      <x:c r="H808" s="25" t="str">
        <x:v>Phone Order</x:v>
      </x:c>
      <x:c r="I808" s="25" t="str">
        <x:v>Office Supplies</x:v>
      </x:c>
      <x:c r="J808" s="25" t="str">
        <x:v>Printer</x:v>
      </x:c>
      <x:c r="K808" s="25" t="n">
        <x:v>5</x:v>
      </x:c>
      <x:c r="L808" s="26" t="n">
        <x:v>6379</x:v>
      </x:c>
      <x:c r="M808" s="27" t="n">
        <x:v>0.15</x:v>
      </x:c>
      <x:c r="N808" s="26" t="n">
        <x:f>K808*L808</x:f>
        <x:v>31895</x:v>
      </x:c>
      <x:c r="O808" s="26" t="n">
        <x:f>N808*(1-M808)</x:f>
        <x:v>27110.75</x:v>
      </x:c>
      <x:c r="P808" s="26" t="n">
        <x:v>5369</x:v>
      </x:c>
      <x:c r="Q808" s="26" t="n">
        <x:f>K808*P808</x:f>
        <x:v>26845</x:v>
      </x:c>
      <x:c r="R808" s="26" t="n">
        <x:f>O808-Q808</x:f>
        <x:v>265.75</x:v>
      </x:c>
      <x:c r="S808" s="28" t="n">
        <x:f>IF(O808=0,0,R808/O808)</x:f>
        <x:v>0.009802384662910469</x:v>
      </x:c>
      <x:c r="T808" s="25" t="str">
        <x:v>Digital Wallet</x:v>
      </x:c>
      <x:c r="U808" s="25" t="str">
        <x:v>Completed</x:v>
      </x:c>
      <x:c r="V808" s="29" t="n">
        <x:v>3</x:v>
      </x:c>
    </x:row>
    <x:row r="809">
      <x:c r="A809" s="23" t="str">
        <x:v>MAN-2025-00808</x:v>
      </x:c>
      <x:c r="B809" s="24" t="n">
        <x:v>45825</x:v>
      </x:c>
      <x:c r="C809" s="25" t="str">
        <x:v>Mansoura</x:v>
      </x:c>
      <x:c r="D809" s="25" t="str">
        <x:v>Mansoura City</x:v>
      </x:c>
      <x:c r="E809" s="25" t="str">
        <x:v>Salma Mansour</x:v>
      </x:c>
      <x:c r="F809" s="25" t="str">
        <x:v>Karim Mansour</x:v>
      </x:c>
      <x:c r="G809" s="25" t="str">
        <x:v>Small Business</x:v>
      </x:c>
      <x:c r="H809" s="25" t="str">
        <x:v>Phone Order</x:v>
      </x:c>
      <x:c r="I809" s="25" t="str">
        <x:v>Electronics</x:v>
      </x:c>
      <x:c r="J809" s="25" t="str">
        <x:v>Tablet</x:v>
      </x:c>
      <x:c r="K809" s="25" t="n">
        <x:v>2</x:v>
      </x:c>
      <x:c r="L809" s="26" t="n">
        <x:v>8625</x:v>
      </x:c>
      <x:c r="M809" s="27" t="n">
        <x:v>0.05</x:v>
      </x:c>
      <x:c r="N809" s="26" t="n">
        <x:f>K809*L809</x:f>
        <x:v>17250</x:v>
      </x:c>
      <x:c r="O809" s="26" t="n">
        <x:f>N809*(1-M809)</x:f>
        <x:v>16387.5</x:v>
      </x:c>
      <x:c r="P809" s="26" t="n">
        <x:v>7513</x:v>
      </x:c>
      <x:c r="Q809" s="26" t="n">
        <x:f>K809*P809</x:f>
        <x:v>15026</x:v>
      </x:c>
      <x:c r="R809" s="26" t="n">
        <x:f>O809-Q809</x:f>
        <x:v>1361.5</x:v>
      </x:c>
      <x:c r="S809" s="28" t="n">
        <x:f>IF(O809=0,0,R809/O809)</x:f>
        <x:v>0.08308161708619374</x:v>
      </x:c>
      <x:c r="T809" s="25" t="str">
        <x:v>Debit Card</x:v>
      </x:c>
      <x:c r="U809" s="25" t="str">
        <x:v>Completed</x:v>
      </x:c>
      <x:c r="V809" s="29" t="n">
        <x:v>5</x:v>
      </x:c>
    </x:row>
    <x:row r="810">
      <x:c r="A810" s="23" t="str">
        <x:v>MAN-2025-00809</x:v>
      </x:c>
      <x:c r="B810" s="24" t="n">
        <x:v>45743</x:v>
      </x:c>
      <x:c r="C810" s="25" t="str">
        <x:v>Mansoura</x:v>
      </x:c>
      <x:c r="D810" s="25" t="str">
        <x:v>Sherbin</x:v>
      </x:c>
      <x:c r="E810" s="25" t="str">
        <x:v>Salma Mansour</x:v>
      </x:c>
      <x:c r="F810" s="25" t="str">
        <x:v>Mostafa Farouk</x:v>
      </x:c>
      <x:c r="G810" s="25" t="str">
        <x:v>Consumer</x:v>
      </x:c>
      <x:c r="H810" s="25" t="str">
        <x:v>Retail Store</x:v>
      </x:c>
      <x:c r="I810" s="25" t="str">
        <x:v>Home Appliances</x:v>
      </x:c>
      <x:c r="J810" s="25" t="str">
        <x:v>Air Conditioner</x:v>
      </x:c>
      <x:c r="K810" s="25" t="n">
        <x:v>6</x:v>
      </x:c>
      <x:c r="L810" s="26" t="n">
        <x:v>20273</x:v>
      </x:c>
      <x:c r="M810" s="27" t="n">
        <x:v>0</x:v>
      </x:c>
      <x:c r="N810" s="26" t="n">
        <x:f>K810*L810</x:f>
        <x:v>121638</x:v>
      </x:c>
      <x:c r="O810" s="26" t="n">
        <x:f>N810*(1-M810)</x:f>
        <x:v>121638</x:v>
      </x:c>
      <x:c r="P810" s="26" t="n">
        <x:v>18010</x:v>
      </x:c>
      <x:c r="Q810" s="26" t="n">
        <x:f>K810*P810</x:f>
        <x:v>108060</x:v>
      </x:c>
      <x:c r="R810" s="26" t="n">
        <x:f>O810-Q810</x:f>
        <x:v>13578</x:v>
      </x:c>
      <x:c r="S810" s="28" t="n">
        <x:f>IF(O810=0,0,R810/O810)</x:f>
        <x:v>0.11162630099146648</x:v>
      </x:c>
      <x:c r="T810" s="25" t="str">
        <x:v>Digital Wallet</x:v>
      </x:c>
      <x:c r="U810" s="25" t="str">
        <x:v>Returned</x:v>
      </x:c>
      <x:c r="V810" s="29" t="n">
        <x:v>5</x:v>
      </x:c>
    </x:row>
    <x:row r="811">
      <x:c r="A811" s="23" t="str">
        <x:v>MAN-2025-00810</x:v>
      </x:c>
      <x:c r="B811" s="24" t="n">
        <x:v>45862</x:v>
      </x:c>
      <x:c r="C811" s="25" t="str">
        <x:v>Mansoura</x:v>
      </x:c>
      <x:c r="D811" s="25" t="str">
        <x:v>Mit Ghamr</x:v>
      </x:c>
      <x:c r="E811" s="25" t="str">
        <x:v>Aya Farouk</x:v>
      </x:c>
      <x:c r="F811" s="25" t="str">
        <x:v>Salma Mansour</x:v>
      </x:c>
      <x:c r="G811" s="25" t="str">
        <x:v>Corporate</x:v>
      </x:c>
      <x:c r="H811" s="25" t="str">
        <x:v>Retail Store</x:v>
      </x:c>
      <x:c r="I811" s="25" t="str">
        <x:v>Furniture</x:v>
      </x:c>
      <x:c r="J811" s="25" t="str">
        <x:v>Bookshelf</x:v>
      </x:c>
      <x:c r="K811" s="25" t="n">
        <x:v>6</x:v>
      </x:c>
      <x:c r="L811" s="26" t="n">
        <x:v>2981</x:v>
      </x:c>
      <x:c r="M811" s="27" t="n">
        <x:v>0</x:v>
      </x:c>
      <x:c r="N811" s="26" t="n">
        <x:f>K811*L811</x:f>
        <x:v>17886</x:v>
      </x:c>
      <x:c r="O811" s="26" t="n">
        <x:f>N811*(1-M811)</x:f>
        <x:v>17886</x:v>
      </x:c>
      <x:c r="P811" s="26" t="n">
        <x:v>2177</x:v>
      </x:c>
      <x:c r="Q811" s="26" t="n">
        <x:f>K811*P811</x:f>
        <x:v>13062</x:v>
      </x:c>
      <x:c r="R811" s="26" t="n">
        <x:f>O811-Q811</x:f>
        <x:v>4824</x:v>
      </x:c>
      <x:c r="S811" s="28" t="n">
        <x:f>IF(O811=0,0,R811/O811)</x:f>
        <x:v>0.2697081516269708</x:v>
      </x:c>
      <x:c r="T811" s="25" t="str">
        <x:v>Cash</x:v>
      </x:c>
      <x:c r="U811" s="25" t="str">
        <x:v>Completed</x:v>
      </x:c>
      <x:c r="V811" s="29" t="n">
        <x:v>4</x:v>
      </x:c>
    </x:row>
    <x:row r="812">
      <x:c r="A812" s="23" t="str">
        <x:v>MAN-2025-00811</x:v>
      </x:c>
      <x:c r="B812" s="24" t="n">
        <x:v>45966</x:v>
      </x:c>
      <x:c r="C812" s="25" t="str">
        <x:v>Mansoura</x:v>
      </x:c>
      <x:c r="D812" s="25" t="str">
        <x:v>Talkha</x:v>
      </x:c>
      <x:c r="E812" s="25" t="str">
        <x:v>Ali Sayed</x:v>
      </x:c>
      <x:c r="F812" s="25" t="str">
        <x:v>Mariam Mansour</x:v>
      </x:c>
      <x:c r="G812" s="25" t="str">
        <x:v>Consumer</x:v>
      </x:c>
      <x:c r="H812" s="25" t="str">
        <x:v>Phone Order</x:v>
      </x:c>
      <x:c r="I812" s="25" t="str">
        <x:v>Home Appliances</x:v>
      </x:c>
      <x:c r="J812" s="25" t="str">
        <x:v>Blender</x:v>
      </x:c>
      <x:c r="K812" s="25" t="n">
        <x:v>3</x:v>
      </x:c>
      <x:c r="L812" s="26" t="n">
        <x:v>1722</x:v>
      </x:c>
      <x:c r="M812" s="27" t="n">
        <x:v>0</x:v>
      </x:c>
      <x:c r="N812" s="26" t="n">
        <x:f>K812*L812</x:f>
        <x:v>5166</x:v>
      </x:c>
      <x:c r="O812" s="26" t="n">
        <x:f>N812*(1-M812)</x:f>
        <x:v>5166</x:v>
      </x:c>
      <x:c r="P812" s="26" t="n">
        <x:v>1250</x:v>
      </x:c>
      <x:c r="Q812" s="26" t="n">
        <x:f>K812*P812</x:f>
        <x:v>3750</x:v>
      </x:c>
      <x:c r="R812" s="26" t="n">
        <x:f>O812-Q812</x:f>
        <x:v>1416</x:v>
      </x:c>
      <x:c r="S812" s="28" t="n">
        <x:f>IF(O812=0,0,R812/O812)</x:f>
        <x:v>0.27409988385598144</x:v>
      </x:c>
      <x:c r="T812" s="25" t="str">
        <x:v>Digital Wallet</x:v>
      </x:c>
      <x:c r="U812" s="25" t="str">
        <x:v>Returned</x:v>
      </x:c>
      <x:c r="V812" s="29" t="n">
        <x:v>5</x:v>
      </x:c>
    </x:row>
    <x:row r="813">
      <x:c r="A813" s="23" t="str">
        <x:v>MAN-2025-00812</x:v>
      </x:c>
      <x:c r="B813" s="24" t="n">
        <x:v>45841</x:v>
      </x:c>
      <x:c r="C813" s="25" t="str">
        <x:v>Mansoura</x:v>
      </x:c>
      <x:c r="D813" s="25" t="str">
        <x:v>Aga</x:v>
      </x:c>
      <x:c r="E813" s="25" t="str">
        <x:v>Youssef Fathy</x:v>
      </x:c>
      <x:c r="F813" s="25" t="str">
        <x:v>Ali Nasser</x:v>
      </x:c>
      <x:c r="G813" s="25" t="str">
        <x:v>Consumer</x:v>
      </x:c>
      <x:c r="H813" s="25" t="str">
        <x:v>Retail Store</x:v>
      </x:c>
      <x:c r="I813" s="25" t="str">
        <x:v>Electronics</x:v>
      </x:c>
      <x:c r="J813" s="25" t="str">
        <x:v>Headphones</x:v>
      </x:c>
      <x:c r="K813" s="25" t="n">
        <x:v>2</x:v>
      </x:c>
      <x:c r="L813" s="26" t="n">
        <x:v>1711</x:v>
      </x:c>
      <x:c r="M813" s="27" t="n">
        <x:v>0</x:v>
      </x:c>
      <x:c r="N813" s="26" t="n">
        <x:f>K813*L813</x:f>
        <x:v>3422</x:v>
      </x:c>
      <x:c r="O813" s="26" t="n">
        <x:f>N813*(1-M813)</x:f>
        <x:v>3422</x:v>
      </x:c>
      <x:c r="P813" s="26" t="n">
        <x:v>1074</x:v>
      </x:c>
      <x:c r="Q813" s="26" t="n">
        <x:f>K813*P813</x:f>
        <x:v>2148</x:v>
      </x:c>
      <x:c r="R813" s="26" t="n">
        <x:f>O813-Q813</x:f>
        <x:v>1274</x:v>
      </x:c>
      <x:c r="S813" s="28" t="n">
        <x:f>IF(O813=0,0,R813/O813)</x:f>
        <x:v>0.3722969023962595</x:v>
      </x:c>
      <x:c r="T813" s="25" t="str">
        <x:v>Cash</x:v>
      </x:c>
      <x:c r="U813" s="25" t="str">
        <x:v>Completed</x:v>
      </x:c>
      <x:c r="V813" s="29" t="n">
        <x:v>4</x:v>
      </x:c>
    </x:row>
    <x:row r="814">
      <x:c r="A814" s="23" t="str">
        <x:v>MAN-2025-00813</x:v>
      </x:c>
      <x:c r="B814" s="24" t="n">
        <x:v>45878</x:v>
      </x:c>
      <x:c r="C814" s="25" t="str">
        <x:v>Mansoura</x:v>
      </x:c>
      <x:c r="D814" s="25" t="str">
        <x:v>Mit Ghamr</x:v>
      </x:c>
      <x:c r="E814" s="25" t="str">
        <x:v>Youssef Fathy</x:v>
      </x:c>
      <x:c r="F814" s="25" t="str">
        <x:v>Karim Mansour</x:v>
      </x:c>
      <x:c r="G814" s="25" t="str">
        <x:v>Small Business</x:v>
      </x:c>
      <x:c r="H814" s="25" t="str">
        <x:v>Website</x:v>
      </x:c>
      <x:c r="I814" s="25" t="str">
        <x:v>Office Supplies</x:v>
      </x:c>
      <x:c r="J814" s="25" t="str">
        <x:v>Paper Box</x:v>
      </x:c>
      <x:c r="K814" s="25" t="n">
        <x:v>5</x:v>
      </x:c>
      <x:c r="L814" s="26" t="n">
        <x:v>382</x:v>
      </x:c>
      <x:c r="M814" s="27" t="n">
        <x:v>0.15</x:v>
      </x:c>
      <x:c r="N814" s="26" t="n">
        <x:f>K814*L814</x:f>
        <x:v>1910</x:v>
      </x:c>
      <x:c r="O814" s="26" t="n">
        <x:f>N814*(1-M814)</x:f>
        <x:v>1623.5</x:v>
      </x:c>
      <x:c r="P814" s="26" t="n">
        <x:v>262</x:v>
      </x:c>
      <x:c r="Q814" s="26" t="n">
        <x:f>K814*P814</x:f>
        <x:v>1310</x:v>
      </x:c>
      <x:c r="R814" s="26" t="n">
        <x:f>O814-Q814</x:f>
        <x:v>313.5</x:v>
      </x:c>
      <x:c r="S814" s="28" t="n">
        <x:f>IF(O814=0,0,R814/O814)</x:f>
        <x:v>0.19310132429935326</x:v>
      </x:c>
      <x:c r="T814" s="25" t="str">
        <x:v>Debit Card</x:v>
      </x:c>
      <x:c r="U814" s="25" t="str">
        <x:v>Completed</x:v>
      </x:c>
      <x:c r="V814" s="29" t="n">
        <x:v>5</x:v>
      </x:c>
    </x:row>
    <x:row r="815">
      <x:c r="A815" s="23" t="str">
        <x:v>MAN-2025-00814</x:v>
      </x:c>
      <x:c r="B815" s="24" t="n">
        <x:v>45957</x:v>
      </x:c>
      <x:c r="C815" s="25" t="str">
        <x:v>Mansoura</x:v>
      </x:c>
      <x:c r="D815" s="25" t="str">
        <x:v>Aga</x:v>
      </x:c>
      <x:c r="E815" s="25" t="str">
        <x:v>Aya Farouk</x:v>
      </x:c>
      <x:c r="F815" s="25" t="str">
        <x:v>Youssef Ibrahim</x:v>
      </x:c>
      <x:c r="G815" s="25" t="str">
        <x:v>Consumer</x:v>
      </x:c>
      <x:c r="H815" s="25" t="str">
        <x:v>Retail Store</x:v>
      </x:c>
      <x:c r="I815" s="25" t="str">
        <x:v>Electronics</x:v>
      </x:c>
      <x:c r="J815" s="25" t="str">
        <x:v>Tablet</x:v>
      </x:c>
      <x:c r="K815" s="25" t="n">
        <x:v>1</x:v>
      </x:c>
      <x:c r="L815" s="26" t="n">
        <x:v>9249</x:v>
      </x:c>
      <x:c r="M815" s="27" t="n">
        <x:v>0.1</x:v>
      </x:c>
      <x:c r="N815" s="26" t="n">
        <x:f>K815*L815</x:f>
        <x:v>9249</x:v>
      </x:c>
      <x:c r="O815" s="26" t="n">
        <x:f>N815*(1-M815)</x:f>
        <x:v>8324.1</x:v>
      </x:c>
      <x:c r="P815" s="26" t="n">
        <x:v>7121</x:v>
      </x:c>
      <x:c r="Q815" s="26" t="n">
        <x:f>K815*P815</x:f>
        <x:v>7121</x:v>
      </x:c>
      <x:c r="R815" s="26" t="n">
        <x:f>O815-Q815</x:f>
        <x:v>1203.1000000000004</x:v>
      </x:c>
      <x:c r="S815" s="28" t="n">
        <x:f>IF(O815=0,0,R815/O815)</x:f>
        <x:v>0.14453214161290714</x:v>
      </x:c>
      <x:c r="T815" s="25" t="str">
        <x:v>Bank Transfer</x:v>
      </x:c>
      <x:c r="U815" s="25" t="str">
        <x:v>Completed</x:v>
      </x:c>
      <x:c r="V815" s="29" t="n">
        <x:v>4</x:v>
      </x:c>
    </x:row>
    <x:row r="816">
      <x:c r="A816" s="23" t="str">
        <x:v>MAN-2025-00815</x:v>
      </x:c>
      <x:c r="B816" s="24" t="n">
        <x:v>45820</x:v>
      </x:c>
      <x:c r="C816" s="25" t="str">
        <x:v>Mansoura</x:v>
      </x:c>
      <x:c r="D816" s="25" t="str">
        <x:v>Aga</x:v>
      </x:c>
      <x:c r="E816" s="25" t="str">
        <x:v>Ali Sayed</x:v>
      </x:c>
      <x:c r="F816" s="25" t="str">
        <x:v>Youssef Fathy</x:v>
      </x:c>
      <x:c r="G816" s="25" t="str">
        <x:v>Corporate</x:v>
      </x:c>
      <x:c r="H816" s="25" t="str">
        <x:v>Retail Store</x:v>
      </x:c>
      <x:c r="I816" s="25" t="str">
        <x:v>Home Appliances</x:v>
      </x:c>
      <x:c r="J816" s="25" t="str">
        <x:v>Air Conditioner</x:v>
      </x:c>
      <x:c r="K816" s="25" t="n">
        <x:v>2</x:v>
      </x:c>
      <x:c r="L816" s="26" t="n">
        <x:v>21895</x:v>
      </x:c>
      <x:c r="M816" s="27" t="n">
        <x:v>0.1</x:v>
      </x:c>
      <x:c r="N816" s="26" t="n">
        <x:f>K816*L816</x:f>
        <x:v>43790</x:v>
      </x:c>
      <x:c r="O816" s="26" t="n">
        <x:f>N816*(1-M816)</x:f>
        <x:v>39411</x:v>
      </x:c>
      <x:c r="P816" s="26" t="n">
        <x:v>18353</x:v>
      </x:c>
      <x:c r="Q816" s="26" t="n">
        <x:f>K816*P816</x:f>
        <x:v>36706</x:v>
      </x:c>
      <x:c r="R816" s="26" t="n">
        <x:f>O816-Q816</x:f>
        <x:v>2705</x:v>
      </x:c>
      <x:c r="S816" s="28" t="n">
        <x:f>IF(O816=0,0,R816/O816)</x:f>
        <x:v>0.06863566009489737</x:v>
      </x:c>
      <x:c r="T816" s="25" t="str">
        <x:v>Digital Wallet</x:v>
      </x:c>
      <x:c r="U816" s="25" t="str">
        <x:v>Returned</x:v>
      </x:c>
      <x:c r="V816" s="29" t="n">
        <x:v>5</x:v>
      </x:c>
    </x:row>
    <x:row r="817">
      <x:c r="A817" s="23" t="str">
        <x:v>MAN-2025-00816</x:v>
      </x:c>
      <x:c r="B817" s="24" t="n">
        <x:v>45670</x:v>
      </x:c>
      <x:c r="C817" s="25" t="str">
        <x:v>Mansoura</x:v>
      </x:c>
      <x:c r="D817" s="25" t="str">
        <x:v>Talkha</x:v>
      </x:c>
      <x:c r="E817" s="25" t="str">
        <x:v>Salma Mansour</x:v>
      </x:c>
      <x:c r="F817" s="25" t="str">
        <x:v>Mariam Nasser</x:v>
      </x:c>
      <x:c r="G817" s="25" t="str">
        <x:v>Small Business</x:v>
      </x:c>
      <x:c r="H817" s="25" t="str">
        <x:v>Mobile App</x:v>
      </x:c>
      <x:c r="I817" s="25" t="str">
        <x:v>Office Supplies</x:v>
      </x:c>
      <x:c r="J817" s="25" t="str">
        <x:v>Printer</x:v>
      </x:c>
      <x:c r="K817" s="25" t="n">
        <x:v>5</x:v>
      </x:c>
      <x:c r="L817" s="26" t="n">
        <x:v>6626</x:v>
      </x:c>
      <x:c r="M817" s="27" t="n">
        <x:v>0.1</x:v>
      </x:c>
      <x:c r="N817" s="26" t="n">
        <x:f>K817*L817</x:f>
        <x:v>33130</x:v>
      </x:c>
      <x:c r="O817" s="26" t="n">
        <x:f>N817*(1-M817)</x:f>
        <x:v>29817</x:v>
      </x:c>
      <x:c r="P817" s="26" t="n">
        <x:v>5286</x:v>
      </x:c>
      <x:c r="Q817" s="26" t="n">
        <x:f>K817*P817</x:f>
        <x:v>26430</x:v>
      </x:c>
      <x:c r="R817" s="26" t="n">
        <x:f>O817-Q817</x:f>
        <x:v>3387</x:v>
      </x:c>
      <x:c r="S817" s="28" t="n">
        <x:f>IF(O817=0,0,R817/O817)</x:f>
        <x:v>0.11359291679243384</x:v>
      </x:c>
      <x:c r="T817" s="25" t="str">
        <x:v>Debit Card</x:v>
      </x:c>
      <x:c r="U817" s="25" t="str">
        <x:v>Completed</x:v>
      </x:c>
      <x:c r="V817" s="29" t="n">
        <x:v>3</x:v>
      </x:c>
    </x:row>
    <x:row r="818">
      <x:c r="A818" s="23" t="str">
        <x:v>MAN-2025-00817</x:v>
      </x:c>
      <x:c r="B818" s="24" t="n">
        <x:v>45713</x:v>
      </x:c>
      <x:c r="C818" s="25" t="str">
        <x:v>Mansoura</x:v>
      </x:c>
      <x:c r="D818" s="25" t="str">
        <x:v>Mansoura City</x:v>
      </x:c>
      <x:c r="E818" s="25" t="str">
        <x:v>Ali Sayed</x:v>
      </x:c>
      <x:c r="F818" s="25" t="str">
        <x:v>Karim Farouk</x:v>
      </x:c>
      <x:c r="G818" s="25" t="str">
        <x:v>Small Business</x:v>
      </x:c>
      <x:c r="H818" s="25" t="str">
        <x:v>Mobile App</x:v>
      </x:c>
      <x:c r="I818" s="25" t="str">
        <x:v>Office Supplies</x:v>
      </x:c>
      <x:c r="J818" s="25" t="str">
        <x:v>Printer</x:v>
      </x:c>
      <x:c r="K818" s="25" t="n">
        <x:v>4</x:v>
      </x:c>
      <x:c r="L818" s="26" t="n">
        <x:v>6452</x:v>
      </x:c>
      <x:c r="M818" s="27" t="n">
        <x:v>0</x:v>
      </x:c>
      <x:c r="N818" s="26" t="n">
        <x:f>K818*L818</x:f>
        <x:v>25808</x:v>
      </x:c>
      <x:c r="O818" s="26" t="n">
        <x:f>N818*(1-M818)</x:f>
        <x:v>25808</x:v>
      </x:c>
      <x:c r="P818" s="26" t="n">
        <x:v>5485</x:v>
      </x:c>
      <x:c r="Q818" s="26" t="n">
        <x:f>K818*P818</x:f>
        <x:v>21940</x:v>
      </x:c>
      <x:c r="R818" s="26" t="n">
        <x:f>O818-Q818</x:f>
        <x:v>3868</x:v>
      </x:c>
      <x:c r="S818" s="28" t="n">
        <x:f>IF(O818=0,0,R818/O818)</x:f>
        <x:v>0.14987600743955362</x:v>
      </x:c>
      <x:c r="T818" s="25" t="str">
        <x:v>Cash</x:v>
      </x:c>
      <x:c r="U818" s="25" t="str">
        <x:v>Completed</x:v>
      </x:c>
      <x:c r="V818" s="29" t="n">
        <x:v>4</x:v>
      </x:c>
    </x:row>
    <x:row r="819">
      <x:c r="A819" s="23" t="str">
        <x:v>MAN-2025-00818</x:v>
      </x:c>
      <x:c r="B819" s="24" t="n">
        <x:v>45893</x:v>
      </x:c>
      <x:c r="C819" s="25" t="str">
        <x:v>Mansoura</x:v>
      </x:c>
      <x:c r="D819" s="25" t="str">
        <x:v>Talkha</x:v>
      </x:c>
      <x:c r="E819" s="25" t="str">
        <x:v>Youssef Fathy</x:v>
      </x:c>
      <x:c r="F819" s="25" t="str">
        <x:v>Ali Mansour</x:v>
      </x:c>
      <x:c r="G819" s="25" t="str">
        <x:v>Corporate</x:v>
      </x:c>
      <x:c r="H819" s="25" t="str">
        <x:v>Website</x:v>
      </x:c>
      <x:c r="I819" s="25" t="str">
        <x:v>Electronics</x:v>
      </x:c>
      <x:c r="J819" s="25" t="str">
        <x:v>Tablet</x:v>
      </x:c>
      <x:c r="K819" s="25" t="n">
        <x:v>3</x:v>
      </x:c>
      <x:c r="L819" s="26" t="n">
        <x:v>9107</x:v>
      </x:c>
      <x:c r="M819" s="27" t="n">
        <x:v>0.1</x:v>
      </x:c>
      <x:c r="N819" s="26" t="n">
        <x:f>K819*L819</x:f>
        <x:v>27321</x:v>
      </x:c>
      <x:c r="O819" s="26" t="n">
        <x:f>N819*(1-M819)</x:f>
        <x:v>24588.9</x:v>
      </x:c>
      <x:c r="P819" s="26" t="n">
        <x:v>7475</x:v>
      </x:c>
      <x:c r="Q819" s="26" t="n">
        <x:f>K819*P819</x:f>
        <x:v>22425</x:v>
      </x:c>
      <x:c r="R819" s="26" t="n">
        <x:f>O819-Q819</x:f>
        <x:v>2163.9000000000015</x:v>
      </x:c>
      <x:c r="S819" s="28" t="n">
        <x:f>IF(O819=0,0,R819/O819)</x:f>
        <x:v>0.08800312336054078</x:v>
      </x:c>
      <x:c r="T819" s="25" t="str">
        <x:v>Digital Wallet</x:v>
      </x:c>
      <x:c r="U819" s="25" t="str">
        <x:v>Completed</x:v>
      </x:c>
      <x:c r="V819" s="29" t="n">
        <x:v>4</x:v>
      </x:c>
    </x:row>
    <x:row r="820">
      <x:c r="A820" s="23" t="str">
        <x:v>MAN-2025-00819</x:v>
      </x:c>
      <x:c r="B820" s="24" t="n">
        <x:v>45778</x:v>
      </x:c>
      <x:c r="C820" s="25" t="str">
        <x:v>Mansoura</x:v>
      </x:c>
      <x:c r="D820" s="25" t="str">
        <x:v>Talkha</x:v>
      </x:c>
      <x:c r="E820" s="25" t="str">
        <x:v>Ali Sayed</x:v>
      </x:c>
      <x:c r="F820" s="25" t="str">
        <x:v>Farah Khalil</x:v>
      </x:c>
      <x:c r="G820" s="25" t="str">
        <x:v>Small Business</x:v>
      </x:c>
      <x:c r="H820" s="25" t="str">
        <x:v>Retail Store</x:v>
      </x:c>
      <x:c r="I820" s="25" t="str">
        <x:v>Furniture</x:v>
      </x:c>
      <x:c r="J820" s="25" t="str">
        <x:v>Office Chair</x:v>
      </x:c>
      <x:c r="K820" s="25" t="n">
        <x:v>5</x:v>
      </x:c>
      <x:c r="L820" s="26" t="n">
        <x:v>3835</x:v>
      </x:c>
      <x:c r="M820" s="27" t="n">
        <x:v>0.1</x:v>
      </x:c>
      <x:c r="N820" s="26" t="n">
        <x:f>K820*L820</x:f>
        <x:v>19175</x:v>
      </x:c>
      <x:c r="O820" s="26" t="n">
        <x:f>N820*(1-M820)</x:f>
        <x:v>17257.5</x:v>
      </x:c>
      <x:c r="P820" s="26" t="n">
        <x:v>2829</x:v>
      </x:c>
      <x:c r="Q820" s="26" t="n">
        <x:f>K820*P820</x:f>
        <x:v>14145</x:v>
      </x:c>
      <x:c r="R820" s="26" t="n">
        <x:f>O820-Q820</x:f>
        <x:v>3112.5</x:v>
      </x:c>
      <x:c r="S820" s="28" t="n">
        <x:f>IF(O820=0,0,R820/O820)</x:f>
        <x:v>0.18035636679704475</x:v>
      </x:c>
      <x:c r="T820" s="25" t="str">
        <x:v>Cash</x:v>
      </x:c>
      <x:c r="U820" s="25" t="str">
        <x:v>Completed</x:v>
      </x:c>
      <x:c r="V820" s="29" t="n">
        <x:v>3</x:v>
      </x:c>
    </x:row>
    <x:row r="821">
      <x:c r="A821" s="23" t="str">
        <x:v>MAN-2025-00820</x:v>
      </x:c>
      <x:c r="B821" s="24" t="n">
        <x:v>45793</x:v>
      </x:c>
      <x:c r="C821" s="25" t="str">
        <x:v>Mansoura</x:v>
      </x:c>
      <x:c r="D821" s="25" t="str">
        <x:v>Talkha</x:v>
      </x:c>
      <x:c r="E821" s="25" t="str">
        <x:v>Salma Mansour</x:v>
      </x:c>
      <x:c r="F821" s="25" t="str">
        <x:v>Mariam Sayed</x:v>
      </x:c>
      <x:c r="G821" s="25" t="str">
        <x:v>Corporate</x:v>
      </x:c>
      <x:c r="H821" s="25" t="str">
        <x:v>Retail Store</x:v>
      </x:c>
      <x:c r="I821" s="25" t="str">
        <x:v>Electronics</x:v>
      </x:c>
      <x:c r="J821" s="25" t="str">
        <x:v>Headphones</x:v>
      </x:c>
      <x:c r="K821" s="25" t="n">
        <x:v>2</x:v>
      </x:c>
      <x:c r="L821" s="26" t="n">
        <x:v>1781</x:v>
      </x:c>
      <x:c r="M821" s="27" t="n">
        <x:v>0.1</x:v>
      </x:c>
      <x:c r="N821" s="26" t="n">
        <x:f>K821*L821</x:f>
        <x:v>3562</x:v>
      </x:c>
      <x:c r="O821" s="26" t="n">
        <x:f>N821*(1-M821)</x:f>
        <x:v>3205.8</x:v>
      </x:c>
      <x:c r="P821" s="26" t="n">
        <x:v>1099</x:v>
      </x:c>
      <x:c r="Q821" s="26" t="n">
        <x:f>K821*P821</x:f>
        <x:v>2198</x:v>
      </x:c>
      <x:c r="R821" s="26" t="n">
        <x:f>O821-Q821</x:f>
        <x:v>1007.8000000000002</x:v>
      </x:c>
      <x:c r="S821" s="28" t="n">
        <x:f>IF(O821=0,0,R821/O821)</x:f>
        <x:v>0.3143677085282925</x:v>
      </x:c>
      <x:c r="T821" s="25" t="str">
        <x:v>Cash</x:v>
      </x:c>
      <x:c r="U821" s="25" t="str">
        <x:v>Completed</x:v>
      </x:c>
      <x:c r="V821" s="29" t="n">
        <x:v>4</x:v>
      </x:c>
    </x:row>
    <x:row r="822">
      <x:c r="A822" s="23" t="str">
        <x:v>MAN-2025-00821</x:v>
      </x:c>
      <x:c r="B822" s="24" t="n">
        <x:v>45698</x:v>
      </x:c>
      <x:c r="C822" s="25" t="str">
        <x:v>Mansoura</x:v>
      </x:c>
      <x:c r="D822" s="25" t="str">
        <x:v>Mansoura City</x:v>
      </x:c>
      <x:c r="E822" s="25" t="str">
        <x:v>Ali Sayed</x:v>
      </x:c>
      <x:c r="F822" s="25" t="str">
        <x:v>Amr Sayed</x:v>
      </x:c>
      <x:c r="G822" s="25" t="str">
        <x:v>Small Business</x:v>
      </x:c>
      <x:c r="H822" s="25" t="str">
        <x:v>Website</x:v>
      </x:c>
      <x:c r="I822" s="25" t="str">
        <x:v>Home Appliances</x:v>
      </x:c>
      <x:c r="J822" s="25" t="str">
        <x:v>Microwave</x:v>
      </x:c>
      <x:c r="K822" s="25" t="n">
        <x:v>2</x:v>
      </x:c>
      <x:c r="L822" s="26" t="n">
        <x:v>5270</x:v>
      </x:c>
      <x:c r="M822" s="27" t="n">
        <x:v>0</x:v>
      </x:c>
      <x:c r="N822" s="26" t="n">
        <x:f>K822*L822</x:f>
        <x:v>10540</x:v>
      </x:c>
      <x:c r="O822" s="26" t="n">
        <x:f>N822*(1-M822)</x:f>
        <x:v>10540</x:v>
      </x:c>
      <x:c r="P822" s="26" t="n">
        <x:v>4464</x:v>
      </x:c>
      <x:c r="Q822" s="26" t="n">
        <x:f>K822*P822</x:f>
        <x:v>8928</x:v>
      </x:c>
      <x:c r="R822" s="26" t="n">
        <x:f>O822-Q822</x:f>
        <x:v>1612</x:v>
      </x:c>
      <x:c r="S822" s="28" t="n">
        <x:f>IF(O822=0,0,R822/O822)</x:f>
        <x:v>0.15294117647058825</x:v>
      </x:c>
      <x:c r="T822" s="25" t="str">
        <x:v>Bank Transfer</x:v>
      </x:c>
      <x:c r="U822" s="25" t="str">
        <x:v>Completed</x:v>
      </x:c>
      <x:c r="V822" s="29" t="n">
        <x:v>4</x:v>
      </x:c>
    </x:row>
    <x:row r="823">
      <x:c r="A823" s="23" t="str">
        <x:v>MAN-2025-00822</x:v>
      </x:c>
      <x:c r="B823" s="24" t="n">
        <x:v>45981</x:v>
      </x:c>
      <x:c r="C823" s="25" t="str">
        <x:v>Mansoura</x:v>
      </x:c>
      <x:c r="D823" s="25" t="str">
        <x:v>Sherbin</x:v>
      </x:c>
      <x:c r="E823" s="25" t="str">
        <x:v>Aya Farouk</x:v>
      </x:c>
      <x:c r="F823" s="25" t="str">
        <x:v>Salma Ibrahim</x:v>
      </x:c>
      <x:c r="G823" s="25" t="str">
        <x:v>Consumer</x:v>
      </x:c>
      <x:c r="H823" s="25" t="str">
        <x:v>Website</x:v>
      </x:c>
      <x:c r="I823" s="25" t="str">
        <x:v>Home Appliances</x:v>
      </x:c>
      <x:c r="J823" s="25" t="str">
        <x:v>Washing Machine</x:v>
      </x:c>
      <x:c r="K823" s="25" t="n">
        <x:v>4</x:v>
      </x:c>
      <x:c r="L823" s="26" t="n">
        <x:v>15773</x:v>
      </x:c>
      <x:c r="M823" s="27" t="n">
        <x:v>0.15</x:v>
      </x:c>
      <x:c r="N823" s="26" t="n">
        <x:f>K823*L823</x:f>
        <x:v>63092</x:v>
      </x:c>
      <x:c r="O823" s="26" t="n">
        <x:f>N823*(1-M823)</x:f>
        <x:v>53628.2</x:v>
      </x:c>
      <x:c r="P823" s="26" t="n">
        <x:v>14645</x:v>
      </x:c>
      <x:c r="Q823" s="26" t="n">
        <x:f>K823*P823</x:f>
        <x:v>58580</x:v>
      </x:c>
      <x:c r="R823" s="26" t="n">
        <x:f>O823-Q823</x:f>
        <x:v>-4951.800000000003</x:v>
      </x:c>
      <x:c r="S823" s="28" t="n">
        <x:f>IF(O823=0,0,R823/O823)</x:f>
        <x:v>-0.09233574872921342</x:v>
      </x:c>
      <x:c r="T823" s="25" t="str">
        <x:v>Bank Transfer</x:v>
      </x:c>
      <x:c r="U823" s="25" t="str">
        <x:v>Completed</x:v>
      </x:c>
      <x:c r="V823" s="29" t="n">
        <x:v>4</x:v>
      </x:c>
    </x:row>
    <x:row r="824">
      <x:c r="A824" s="23" t="str">
        <x:v>MAN-2025-00823</x:v>
      </x:c>
      <x:c r="B824" s="24" t="n">
        <x:v>45759</x:v>
      </x:c>
      <x:c r="C824" s="25" t="str">
        <x:v>Mansoura</x:v>
      </x:c>
      <x:c r="D824" s="25" t="str">
        <x:v>Mansoura City</x:v>
      </x:c>
      <x:c r="E824" s="25" t="str">
        <x:v>Ali Sayed</x:v>
      </x:c>
      <x:c r="F824" s="25" t="str">
        <x:v>Amr Fathy</x:v>
      </x:c>
      <x:c r="G824" s="25" t="str">
        <x:v>Consumer</x:v>
      </x:c>
      <x:c r="H824" s="25" t="str">
        <x:v>Mobile App</x:v>
      </x:c>
      <x:c r="I824" s="25" t="str">
        <x:v>Furniture</x:v>
      </x:c>
      <x:c r="J824" s="25" t="str">
        <x:v>Desk</x:v>
      </x:c>
      <x:c r="K824" s="25" t="n">
        <x:v>4</x:v>
      </x:c>
      <x:c r="L824" s="26" t="n">
        <x:v>4794</x:v>
      </x:c>
      <x:c r="M824" s="27" t="n">
        <x:v>0.15</x:v>
      </x:c>
      <x:c r="N824" s="26" t="n">
        <x:f>K824*L824</x:f>
        <x:v>19176</x:v>
      </x:c>
      <x:c r="O824" s="26" t="n">
        <x:f>N824*(1-M824)</x:f>
        <x:v>16299.6</x:v>
      </x:c>
      <x:c r="P824" s="26" t="n">
        <x:v>3989</x:v>
      </x:c>
      <x:c r="Q824" s="26" t="n">
        <x:f>K824*P824</x:f>
        <x:v>15956</x:v>
      </x:c>
      <x:c r="R824" s="26" t="n">
        <x:f>O824-Q824</x:f>
        <x:v>343.60000000000036</x:v>
      </x:c>
      <x:c r="S824" s="28" t="n">
        <x:f>IF(O824=0,0,R824/O824)</x:f>
        <x:v>0.021080271908513113</x:v>
      </x:c>
      <x:c r="T824" s="25" t="str">
        <x:v>Cash</x:v>
      </x:c>
      <x:c r="U824" s="25" t="str">
        <x:v>Returned</x:v>
      </x:c>
      <x:c r="V824" s="29" t="n">
        <x:v>5</x:v>
      </x:c>
    </x:row>
    <x:row r="825">
      <x:c r="A825" s="23" t="str">
        <x:v>MAN-2025-00824</x:v>
      </x:c>
      <x:c r="B825" s="24" t="n">
        <x:v>45997</x:v>
      </x:c>
      <x:c r="C825" s="25" t="str">
        <x:v>Mansoura</x:v>
      </x:c>
      <x:c r="D825" s="25" t="str">
        <x:v>Sherbin</x:v>
      </x:c>
      <x:c r="E825" s="25" t="str">
        <x:v>Salma Mansour</x:v>
      </x:c>
      <x:c r="F825" s="25" t="str">
        <x:v>Mohamed Adel</x:v>
      </x:c>
      <x:c r="G825" s="25" t="str">
        <x:v>Consumer</x:v>
      </x:c>
      <x:c r="H825" s="25" t="str">
        <x:v>Retail Store</x:v>
      </x:c>
      <x:c r="I825" s="25" t="str">
        <x:v>Home Appliances</x:v>
      </x:c>
      <x:c r="J825" s="25" t="str">
        <x:v>Air Conditioner</x:v>
      </x:c>
      <x:c r="K825" s="25" t="n">
        <x:v>5</x:v>
      </x:c>
      <x:c r="L825" s="26" t="n">
        <x:v>19815</x:v>
      </x:c>
      <x:c r="M825" s="27" t="n">
        <x:v>0.1</x:v>
      </x:c>
      <x:c r="N825" s="26" t="n">
        <x:f>K825*L825</x:f>
        <x:v>99075</x:v>
      </x:c>
      <x:c r="O825" s="26" t="n">
        <x:f>N825*(1-M825)</x:f>
        <x:v>89167.5</x:v>
      </x:c>
      <x:c r="P825" s="26" t="n">
        <x:v>18129</x:v>
      </x:c>
      <x:c r="Q825" s="26" t="n">
        <x:f>K825*P825</x:f>
        <x:v>90645</x:v>
      </x:c>
      <x:c r="R825" s="26" t="n">
        <x:f>O825-Q825</x:f>
        <x:v>-1477.5</x:v>
      </x:c>
      <x:c r="S825" s="28" t="n">
        <x:f>IF(O825=0,0,R825/O825)</x:f>
        <x:v>-0.016569938598704686</x:v>
      </x:c>
      <x:c r="T825" s="25" t="str">
        <x:v>Debit Card</x:v>
      </x:c>
      <x:c r="U825" s="25" t="str">
        <x:v>Completed</x:v>
      </x:c>
      <x:c r="V825" s="29" t="n">
        <x:v>4</x:v>
      </x:c>
    </x:row>
    <x:row r="826">
      <x:c r="A826" s="23" t="str">
        <x:v>MAN-2025-00825</x:v>
      </x:c>
      <x:c r="B826" s="24" t="n">
        <x:v>45961</x:v>
      </x:c>
      <x:c r="C826" s="25" t="str">
        <x:v>Mansoura</x:v>
      </x:c>
      <x:c r="D826" s="25" t="str">
        <x:v>Aga</x:v>
      </x:c>
      <x:c r="E826" s="25" t="str">
        <x:v>Salma Mansour</x:v>
      </x:c>
      <x:c r="F826" s="25" t="str">
        <x:v>Mostafa Khalil</x:v>
      </x:c>
      <x:c r="G826" s="25" t="str">
        <x:v>Small Business</x:v>
      </x:c>
      <x:c r="H826" s="25" t="str">
        <x:v>Website</x:v>
      </x:c>
      <x:c r="I826" s="25" t="str">
        <x:v>Electronics</x:v>
      </x:c>
      <x:c r="J826" s="25" t="str">
        <x:v>Headphones</x:v>
      </x:c>
      <x:c r="K826" s="25" t="n">
        <x:v>1</x:v>
      </x:c>
      <x:c r="L826" s="26" t="n">
        <x:v>1768</x:v>
      </x:c>
      <x:c r="M826" s="27" t="n">
        <x:v>0.05</x:v>
      </x:c>
      <x:c r="N826" s="26" t="n">
        <x:f>K826*L826</x:f>
        <x:v>1768</x:v>
      </x:c>
      <x:c r="O826" s="26" t="n">
        <x:f>N826*(1-M826)</x:f>
        <x:v>1679.6</x:v>
      </x:c>
      <x:c r="P826" s="26" t="n">
        <x:v>1119</x:v>
      </x:c>
      <x:c r="Q826" s="26" t="n">
        <x:f>K826*P826</x:f>
        <x:v>1119</x:v>
      </x:c>
      <x:c r="R826" s="26" t="n">
        <x:f>O826-Q826</x:f>
        <x:v>560.5999999999999</x:v>
      </x:c>
      <x:c r="S826" s="28" t="n">
        <x:f>IF(O826=0,0,R826/O826)</x:f>
        <x:v>0.33376994522505354</x:v>
      </x:c>
      <x:c r="T826" s="25" t="str">
        <x:v>Bank Transfer</x:v>
      </x:c>
      <x:c r="U826" s="25" t="str">
        <x:v>Completed</x:v>
      </x:c>
      <x:c r="V826" s="29" t="n">
        <x:v>5</x:v>
      </x:c>
    </x:row>
    <x:row r="827">
      <x:c r="A827" s="23" t="str">
        <x:v>MAN-2025-00826</x:v>
      </x:c>
      <x:c r="B827" s="24" t="n">
        <x:v>45681</x:v>
      </x:c>
      <x:c r="C827" s="25" t="str">
        <x:v>Mansoura</x:v>
      </x:c>
      <x:c r="D827" s="25" t="str">
        <x:v>Talkha</x:v>
      </x:c>
      <x:c r="E827" s="25" t="str">
        <x:v>Salma Mansour</x:v>
      </x:c>
      <x:c r="F827" s="25" t="str">
        <x:v>Farah Fathy</x:v>
      </x:c>
      <x:c r="G827" s="25" t="str">
        <x:v>Consumer</x:v>
      </x:c>
      <x:c r="H827" s="25" t="str">
        <x:v>Mobile App</x:v>
      </x:c>
      <x:c r="I827" s="25" t="str">
        <x:v>Office Supplies</x:v>
      </x:c>
      <x:c r="J827" s="25" t="str">
        <x:v>Calculator</x:v>
      </x:c>
      <x:c r="K827" s="25" t="n">
        <x:v>6</x:v>
      </x:c>
      <x:c r="L827" s="26" t="n">
        <x:v>459</x:v>
      </x:c>
      <x:c r="M827" s="27" t="n">
        <x:v>0.05</x:v>
      </x:c>
      <x:c r="N827" s="26" t="n">
        <x:f>K827*L827</x:f>
        <x:v>2754</x:v>
      </x:c>
      <x:c r="O827" s="26" t="n">
        <x:f>N827*(1-M827)</x:f>
        <x:v>2616.2999999999997</x:v>
      </x:c>
      <x:c r="P827" s="26" t="n">
        <x:v>287</x:v>
      </x:c>
      <x:c r="Q827" s="26" t="n">
        <x:f>K827*P827</x:f>
        <x:v>1722</x:v>
      </x:c>
      <x:c r="R827" s="26" t="n">
        <x:f>O827-Q827</x:f>
        <x:v>894.2999999999997</x:v>
      </x:c>
      <x:c r="S827" s="28" t="n">
        <x:f>IF(O827=0,0,R827/O827)</x:f>
        <x:v>0.341818598784543</x:v>
      </x:c>
      <x:c r="T827" s="25" t="str">
        <x:v>Cash</x:v>
      </x:c>
      <x:c r="U827" s="25" t="str">
        <x:v>Completed</x:v>
      </x:c>
      <x:c r="V827" s="29" t="n">
        <x:v>5</x:v>
      </x:c>
    </x:row>
    <x:row r="828">
      <x:c r="A828" s="23" t="str">
        <x:v>MAN-2025-00827</x:v>
      </x:c>
      <x:c r="B828" s="24" t="n">
        <x:v>46006</x:v>
      </x:c>
      <x:c r="C828" s="25" t="str">
        <x:v>Mansoura</x:v>
      </x:c>
      <x:c r="D828" s="25" t="str">
        <x:v>Aga</x:v>
      </x:c>
      <x:c r="E828" s="25" t="str">
        <x:v>Aya Farouk</x:v>
      </x:c>
      <x:c r="F828" s="25" t="str">
        <x:v>Salma Khalil</x:v>
      </x:c>
      <x:c r="G828" s="25" t="str">
        <x:v>Consumer</x:v>
      </x:c>
      <x:c r="H828" s="25" t="str">
        <x:v>Phone Order</x:v>
      </x:c>
      <x:c r="I828" s="25" t="str">
        <x:v>Office Supplies</x:v>
      </x:c>
      <x:c r="J828" s="25" t="str">
        <x:v>Printer</x:v>
      </x:c>
      <x:c r="K828" s="25" t="n">
        <x:v>4</x:v>
      </x:c>
      <x:c r="L828" s="26" t="n">
        <x:v>6484</x:v>
      </x:c>
      <x:c r="M828" s="27" t="n">
        <x:v>0</x:v>
      </x:c>
      <x:c r="N828" s="26" t="n">
        <x:f>K828*L828</x:f>
        <x:v>25936</x:v>
      </x:c>
      <x:c r="O828" s="26" t="n">
        <x:f>N828*(1-M828)</x:f>
        <x:v>25936</x:v>
      </x:c>
      <x:c r="P828" s="26" t="n">
        <x:v>5256</x:v>
      </x:c>
      <x:c r="Q828" s="26" t="n">
        <x:f>K828*P828</x:f>
        <x:v>21024</x:v>
      </x:c>
      <x:c r="R828" s="26" t="n">
        <x:f>O828-Q828</x:f>
        <x:v>4912</x:v>
      </x:c>
      <x:c r="S828" s="28" t="n">
        <x:f>IF(O828=0,0,R828/O828)</x:f>
        <x:v>0.189389265885256</x:v>
      </x:c>
      <x:c r="T828" s="25" t="str">
        <x:v>Bank Transfer</x:v>
      </x:c>
      <x:c r="U828" s="25" t="str">
        <x:v>Returned</x:v>
      </x:c>
      <x:c r="V828" s="29" t="n">
        <x:v>4</x:v>
      </x:c>
    </x:row>
    <x:row r="829">
      <x:c r="A829" s="23" t="str">
        <x:v>MAN-2025-00828</x:v>
      </x:c>
      <x:c r="B829" s="24" t="n">
        <x:v>45811</x:v>
      </x:c>
      <x:c r="C829" s="25" t="str">
        <x:v>Mansoura</x:v>
      </x:c>
      <x:c r="D829" s="25" t="str">
        <x:v>Mansoura City</x:v>
      </x:c>
      <x:c r="E829" s="25" t="str">
        <x:v>Aya Farouk</x:v>
      </x:c>
      <x:c r="F829" s="25" t="str">
        <x:v>Mohamed Farouk</x:v>
      </x:c>
      <x:c r="G829" s="25" t="str">
        <x:v>Consumer</x:v>
      </x:c>
      <x:c r="H829" s="25" t="str">
        <x:v>Mobile App</x:v>
      </x:c>
      <x:c r="I829" s="25" t="str">
        <x:v>Office Supplies</x:v>
      </x:c>
      <x:c r="J829" s="25" t="str">
        <x:v>Calculator</x:v>
      </x:c>
      <x:c r="K829" s="25" t="n">
        <x:v>4</x:v>
      </x:c>
      <x:c r="L829" s="26" t="n">
        <x:v>421</x:v>
      </x:c>
      <x:c r="M829" s="27" t="n">
        <x:v>0.15</x:v>
      </x:c>
      <x:c r="N829" s="26" t="n">
        <x:f>K829*L829</x:f>
        <x:v>1684</x:v>
      </x:c>
      <x:c r="O829" s="26" t="n">
        <x:f>N829*(1-M829)</x:f>
        <x:v>1431.3999999999999</x:v>
      </x:c>
      <x:c r="P829" s="26" t="n">
        <x:v>282</x:v>
      </x:c>
      <x:c r="Q829" s="26" t="n">
        <x:f>K829*P829</x:f>
        <x:v>1128</x:v>
      </x:c>
      <x:c r="R829" s="26" t="n">
        <x:f>O829-Q829</x:f>
        <x:v>303.39999999999986</x:v>
      </x:c>
      <x:c r="S829" s="28" t="n">
        <x:f>IF(O829=0,0,R829/O829)</x:f>
        <x:v>0.21196031856923284</x:v>
      </x:c>
      <x:c r="T829" s="25" t="str">
        <x:v>Cash</x:v>
      </x:c>
      <x:c r="U829" s="25" t="str">
        <x:v>Returned</x:v>
      </x:c>
      <x:c r="V829" s="29" t="n">
        <x:v>4</x:v>
      </x:c>
    </x:row>
    <x:row r="830">
      <x:c r="A830" s="23" t="str">
        <x:v>MAN-2025-00829</x:v>
      </x:c>
      <x:c r="B830" s="24" t="n">
        <x:v>45851</x:v>
      </x:c>
      <x:c r="C830" s="25" t="str">
        <x:v>Mansoura</x:v>
      </x:c>
      <x:c r="D830" s="25" t="str">
        <x:v>Mit Ghamr</x:v>
      </x:c>
      <x:c r="E830" s="25" t="str">
        <x:v>Salma Mansour</x:v>
      </x:c>
      <x:c r="F830" s="25" t="str">
        <x:v>Youssef Gamal</x:v>
      </x:c>
      <x:c r="G830" s="25" t="str">
        <x:v>Corporate</x:v>
      </x:c>
      <x:c r="H830" s="25" t="str">
        <x:v>Website</x:v>
      </x:c>
      <x:c r="I830" s="25" t="str">
        <x:v>Furniture</x:v>
      </x:c>
      <x:c r="J830" s="25" t="str">
        <x:v>Sofa</x:v>
      </x:c>
      <x:c r="K830" s="25" t="n">
        <x:v>4</x:v>
      </x:c>
      <x:c r="L830" s="26" t="n">
        <x:v>14009</x:v>
      </x:c>
      <x:c r="M830" s="27" t="n">
        <x:v>0.05</x:v>
      </x:c>
      <x:c r="N830" s="26" t="n">
        <x:f>K830*L830</x:f>
        <x:v>56036</x:v>
      </x:c>
      <x:c r="O830" s="26" t="n">
        <x:f>N830*(1-M830)</x:f>
        <x:v>53234.2</x:v>
      </x:c>
      <x:c r="P830" s="26" t="n">
        <x:v>10869</x:v>
      </x:c>
      <x:c r="Q830" s="26" t="n">
        <x:f>K830*P830</x:f>
        <x:v>43476</x:v>
      </x:c>
      <x:c r="R830" s="26" t="n">
        <x:f>O830-Q830</x:f>
        <x:v>9758.199999999997</x:v>
      </x:c>
      <x:c r="S830" s="28" t="n">
        <x:f>IF(O830=0,0,R830/O830)</x:f>
        <x:v>0.18330697183389622</x:v>
      </x:c>
      <x:c r="T830" s="25" t="str">
        <x:v>Cash</x:v>
      </x:c>
      <x:c r="U830" s="25" t="str">
        <x:v>Completed</x:v>
      </x:c>
      <x:c r="V830" s="29" t="n">
        <x:v>5</x:v>
      </x:c>
    </x:row>
    <x:row r="831">
      <x:c r="A831" s="23" t="str">
        <x:v>MAN-2025-00830</x:v>
      </x:c>
      <x:c r="B831" s="24" t="n">
        <x:v>45686</x:v>
      </x:c>
      <x:c r="C831" s="25" t="str">
        <x:v>Mansoura</x:v>
      </x:c>
      <x:c r="D831" s="25" t="str">
        <x:v>Sherbin</x:v>
      </x:c>
      <x:c r="E831" s="25" t="str">
        <x:v>Salma Mansour</x:v>
      </x:c>
      <x:c r="F831" s="25" t="str">
        <x:v>Karim Ibrahim</x:v>
      </x:c>
      <x:c r="G831" s="25" t="str">
        <x:v>Consumer</x:v>
      </x:c>
      <x:c r="H831" s="25" t="str">
        <x:v>Retail Store</x:v>
      </x:c>
      <x:c r="I831" s="25" t="str">
        <x:v>Office Supplies</x:v>
      </x:c>
      <x:c r="J831" s="25" t="str">
        <x:v>Calculator</x:v>
      </x:c>
      <x:c r="K831" s="25" t="n">
        <x:v>2</x:v>
      </x:c>
      <x:c r="L831" s="26" t="n">
        <x:v>458</x:v>
      </x:c>
      <x:c r="M831" s="27" t="n">
        <x:v>0.1</x:v>
      </x:c>
      <x:c r="N831" s="26" t="n">
        <x:f>K831*L831</x:f>
        <x:v>916</x:v>
      </x:c>
      <x:c r="O831" s="26" t="n">
        <x:f>N831*(1-M831)</x:f>
        <x:v>824.4</x:v>
      </x:c>
      <x:c r="P831" s="26" t="n">
        <x:v>278</x:v>
      </x:c>
      <x:c r="Q831" s="26" t="n">
        <x:f>K831*P831</x:f>
        <x:v>556</x:v>
      </x:c>
      <x:c r="R831" s="26" t="n">
        <x:f>O831-Q831</x:f>
        <x:v>268.4</x:v>
      </x:c>
      <x:c r="S831" s="28" t="n">
        <x:f>IF(O831=0,0,R831/O831)</x:f>
        <x:v>0.32557011159631244</x:v>
      </x:c>
      <x:c r="T831" s="25" t="str">
        <x:v>Debit Card</x:v>
      </x:c>
      <x:c r="U831" s="25" t="str">
        <x:v>Completed</x:v>
      </x:c>
      <x:c r="V831" s="29" t="n">
        <x:v>5</x:v>
      </x:c>
    </x:row>
    <x:row r="832">
      <x:c r="A832" s="23" t="str">
        <x:v>MAN-2025-00831</x:v>
      </x:c>
      <x:c r="B832" s="24" t="n">
        <x:v>45690</x:v>
      </x:c>
      <x:c r="C832" s="25" t="str">
        <x:v>Mansoura</x:v>
      </x:c>
      <x:c r="D832" s="25" t="str">
        <x:v>Aga</x:v>
      </x:c>
      <x:c r="E832" s="25" t="str">
        <x:v>Aya Farouk</x:v>
      </x:c>
      <x:c r="F832" s="25" t="str">
        <x:v>Sara Sayed</x:v>
      </x:c>
      <x:c r="G832" s="25" t="str">
        <x:v>Consumer</x:v>
      </x:c>
      <x:c r="H832" s="25" t="str">
        <x:v>Phone Order</x:v>
      </x:c>
      <x:c r="I832" s="25" t="str">
        <x:v>Electronics</x:v>
      </x:c>
      <x:c r="J832" s="25" t="str">
        <x:v>Headphones</x:v>
      </x:c>
      <x:c r="K832" s="25" t="n">
        <x:v>2</x:v>
      </x:c>
      <x:c r="L832" s="26" t="n">
        <x:v>1599</x:v>
      </x:c>
      <x:c r="M832" s="27" t="n">
        <x:v>0</x:v>
      </x:c>
      <x:c r="N832" s="26" t="n">
        <x:f>K832*L832</x:f>
        <x:v>3198</x:v>
      </x:c>
      <x:c r="O832" s="26" t="n">
        <x:f>N832*(1-M832)</x:f>
        <x:v>3198</x:v>
      </x:c>
      <x:c r="P832" s="26" t="n">
        <x:v>1120</x:v>
      </x:c>
      <x:c r="Q832" s="26" t="n">
        <x:f>K832*P832</x:f>
        <x:v>2240</x:v>
      </x:c>
      <x:c r="R832" s="26" t="n">
        <x:f>O832-Q832</x:f>
        <x:v>958</x:v>
      </x:c>
      <x:c r="S832" s="28" t="n">
        <x:f>IF(O832=0,0,R832/O832)</x:f>
        <x:v>0.29956222639149466</x:v>
      </x:c>
      <x:c r="T832" s="25" t="str">
        <x:v>Debit Card</x:v>
      </x:c>
      <x:c r="U832" s="25" t="str">
        <x:v>Completed</x:v>
      </x:c>
      <x:c r="V832" s="29" t="n">
        <x:v>5</x:v>
      </x:c>
    </x:row>
    <x:row r="833">
      <x:c r="A833" s="23" t="str">
        <x:v>MAN-2025-00832</x:v>
      </x:c>
      <x:c r="B833" s="24" t="n">
        <x:v>45810</x:v>
      </x:c>
      <x:c r="C833" s="25" t="str">
        <x:v>Mansoura</x:v>
      </x:c>
      <x:c r="D833" s="25" t="str">
        <x:v>Talkha</x:v>
      </x:c>
      <x:c r="E833" s="25" t="str">
        <x:v>Ali Sayed</x:v>
      </x:c>
      <x:c r="F833" s="25" t="str">
        <x:v>Mohamed Sayed</x:v>
      </x:c>
      <x:c r="G833" s="25" t="str">
        <x:v>Consumer</x:v>
      </x:c>
      <x:c r="H833" s="25" t="str">
        <x:v>Retail Store</x:v>
      </x:c>
      <x:c r="I833" s="25" t="str">
        <x:v>Furniture</x:v>
      </x:c>
      <x:c r="J833" s="25" t="str">
        <x:v>Sofa</x:v>
      </x:c>
      <x:c r="K833" s="25" t="n">
        <x:v>6</x:v>
      </x:c>
      <x:c r="L833" s="26" t="n">
        <x:v>12701</x:v>
      </x:c>
      <x:c r="M833" s="27" t="n">
        <x:v>0.05</x:v>
      </x:c>
      <x:c r="N833" s="26" t="n">
        <x:f>K833*L833</x:f>
        <x:v>76206</x:v>
      </x:c>
      <x:c r="O833" s="26" t="n">
        <x:f>N833*(1-M833)</x:f>
        <x:v>72395.7</x:v>
      </x:c>
      <x:c r="P833" s="26" t="n">
        <x:v>10826</x:v>
      </x:c>
      <x:c r="Q833" s="26" t="n">
        <x:f>K833*P833</x:f>
        <x:v>64956</x:v>
      </x:c>
      <x:c r="R833" s="26" t="n">
        <x:f>O833-Q833</x:f>
        <x:v>7439.699999999997</x:v>
      </x:c>
      <x:c r="S833" s="28" t="n">
        <x:f>IF(O833=0,0,R833/O833)</x:f>
        <x:v>0.10276439070276269</x:v>
      </x:c>
      <x:c r="T833" s="25" t="str">
        <x:v>Cash</x:v>
      </x:c>
      <x:c r="U833" s="25" t="str">
        <x:v>Completed</x:v>
      </x:c>
      <x:c r="V833" s="29" t="n">
        <x:v>4</x:v>
      </x:c>
    </x:row>
    <x:row r="834">
      <x:c r="A834" s="23" t="str">
        <x:v>MAN-2025-00833</x:v>
      </x:c>
      <x:c r="B834" s="24" t="n">
        <x:v>45822</x:v>
      </x:c>
      <x:c r="C834" s="25" t="str">
        <x:v>Mansoura</x:v>
      </x:c>
      <x:c r="D834" s="25" t="str">
        <x:v>Aga</x:v>
      </x:c>
      <x:c r="E834" s="25" t="str">
        <x:v>Salma Mansour</x:v>
      </x:c>
      <x:c r="F834" s="25" t="str">
        <x:v>Aya Nasser</x:v>
      </x:c>
      <x:c r="G834" s="25" t="str">
        <x:v>Consumer</x:v>
      </x:c>
      <x:c r="H834" s="25" t="str">
        <x:v>Retail Store</x:v>
      </x:c>
      <x:c r="I834" s="25" t="str">
        <x:v>Furniture</x:v>
      </x:c>
      <x:c r="J834" s="25" t="str">
        <x:v>Desk</x:v>
      </x:c>
      <x:c r="K834" s="25" t="n">
        <x:v>2</x:v>
      </x:c>
      <x:c r="L834" s="26" t="n">
        <x:v>5080</x:v>
      </x:c>
      <x:c r="M834" s="27" t="n">
        <x:v>0.05</x:v>
      </x:c>
      <x:c r="N834" s="26" t="n">
        <x:f>K834*L834</x:f>
        <x:v>10160</x:v>
      </x:c>
      <x:c r="O834" s="26" t="n">
        <x:f>N834*(1-M834)</x:f>
        <x:v>9652</x:v>
      </x:c>
      <x:c r="P834" s="26" t="n">
        <x:v>3856</x:v>
      </x:c>
      <x:c r="Q834" s="26" t="n">
        <x:f>K834*P834</x:f>
        <x:v>7712</x:v>
      </x:c>
      <x:c r="R834" s="26" t="n">
        <x:f>O834-Q834</x:f>
        <x:v>1940</x:v>
      </x:c>
      <x:c r="S834" s="28" t="n">
        <x:f>IF(O834=0,0,R834/O834)</x:f>
        <x:v>0.20099461251554082</x:v>
      </x:c>
      <x:c r="T834" s="25" t="str">
        <x:v>Debit Card</x:v>
      </x:c>
      <x:c r="U834" s="25" t="str">
        <x:v>Completed</x:v>
      </x:c>
      <x:c r="V834" s="29" t="n">
        <x:v>5</x:v>
      </x:c>
    </x:row>
    <x:row r="835">
      <x:c r="A835" s="23" t="str">
        <x:v>MAN-2025-00834</x:v>
      </x:c>
      <x:c r="B835" s="24" t="n">
        <x:v>45789</x:v>
      </x:c>
      <x:c r="C835" s="25" t="str">
        <x:v>Mansoura</x:v>
      </x:c>
      <x:c r="D835" s="25" t="str">
        <x:v>Talkha</x:v>
      </x:c>
      <x:c r="E835" s="25" t="str">
        <x:v>Aya Farouk</x:v>
      </x:c>
      <x:c r="F835" s="25" t="str">
        <x:v>Amr Sayed</x:v>
      </x:c>
      <x:c r="G835" s="25" t="str">
        <x:v>Consumer</x:v>
      </x:c>
      <x:c r="H835" s="25" t="str">
        <x:v>Mobile App</x:v>
      </x:c>
      <x:c r="I835" s="25" t="str">
        <x:v>Office Supplies</x:v>
      </x:c>
      <x:c r="J835" s="25" t="str">
        <x:v>Calculator</x:v>
      </x:c>
      <x:c r="K835" s="25" t="n">
        <x:v>3</x:v>
      </x:c>
      <x:c r="L835" s="26" t="n">
        <x:v>453</x:v>
      </x:c>
      <x:c r="M835" s="27" t="n">
        <x:v>0</x:v>
      </x:c>
      <x:c r="N835" s="26" t="n">
        <x:f>K835*L835</x:f>
        <x:v>1359</x:v>
      </x:c>
      <x:c r="O835" s="26" t="n">
        <x:f>N835*(1-M835)</x:f>
        <x:v>1359</x:v>
      </x:c>
      <x:c r="P835" s="26" t="n">
        <x:v>291</x:v>
      </x:c>
      <x:c r="Q835" s="26" t="n">
        <x:f>K835*P835</x:f>
        <x:v>873</x:v>
      </x:c>
      <x:c r="R835" s="26" t="n">
        <x:f>O835-Q835</x:f>
        <x:v>486</x:v>
      </x:c>
      <x:c r="S835" s="28" t="n">
        <x:f>IF(O835=0,0,R835/O835)</x:f>
        <x:v>0.3576158940397351</x:v>
      </x:c>
      <x:c r="T835" s="25" t="str">
        <x:v>Credit Card</x:v>
      </x:c>
      <x:c r="U835" s="25" t="str">
        <x:v>Completed</x:v>
      </x:c>
      <x:c r="V835" s="29" t="n">
        <x:v>3</x:v>
      </x:c>
    </x:row>
    <x:row r="836">
      <x:c r="A836" s="23" t="str">
        <x:v>MAN-2025-00835</x:v>
      </x:c>
      <x:c r="B836" s="24" t="n">
        <x:v>45713</x:v>
      </x:c>
      <x:c r="C836" s="25" t="str">
        <x:v>Mansoura</x:v>
      </x:c>
      <x:c r="D836" s="25" t="str">
        <x:v>Talkha</x:v>
      </x:c>
      <x:c r="E836" s="25" t="str">
        <x:v>Salma Mansour</x:v>
      </x:c>
      <x:c r="F836" s="25" t="str">
        <x:v>Youssef Samir</x:v>
      </x:c>
      <x:c r="G836" s="25" t="str">
        <x:v>Small Business</x:v>
      </x:c>
      <x:c r="H836" s="25" t="str">
        <x:v>Retail Store</x:v>
      </x:c>
      <x:c r="I836" s="25" t="str">
        <x:v>Furniture</x:v>
      </x:c>
      <x:c r="J836" s="25" t="str">
        <x:v>Bookshelf</x:v>
      </x:c>
      <x:c r="K836" s="25" t="n">
        <x:v>1</x:v>
      </x:c>
      <x:c r="L836" s="26" t="n">
        <x:v>2829</x:v>
      </x:c>
      <x:c r="M836" s="27" t="n">
        <x:v>0.1</x:v>
      </x:c>
      <x:c r="N836" s="26" t="n">
        <x:f>K836*L836</x:f>
        <x:v>2829</x:v>
      </x:c>
      <x:c r="O836" s="26" t="n">
        <x:f>N836*(1-M836)</x:f>
        <x:v>2546.1</x:v>
      </x:c>
      <x:c r="P836" s="26" t="n">
        <x:v>2270</x:v>
      </x:c>
      <x:c r="Q836" s="26" t="n">
        <x:f>K836*P836</x:f>
        <x:v>2270</x:v>
      </x:c>
      <x:c r="R836" s="26" t="n">
        <x:f>O836-Q836</x:f>
        <x:v>276.0999999999999</x:v>
      </x:c>
      <x:c r="S836" s="28" t="n">
        <x:f>IF(O836=0,0,R836/O836)</x:f>
        <x:v>0.10844035976591647</x:v>
      </x:c>
      <x:c r="T836" s="25" t="str">
        <x:v>Debit Card</x:v>
      </x:c>
      <x:c r="U836" s="25" t="str">
        <x:v>Cancelled</x:v>
      </x:c>
      <x:c r="V836" s="29" t="n">
        <x:v>5</x:v>
      </x:c>
    </x:row>
    <x:row r="837">
      <x:c r="A837" s="23" t="str">
        <x:v>MAN-2025-00836</x:v>
      </x:c>
      <x:c r="B837" s="24" t="n">
        <x:v>45994</x:v>
      </x:c>
      <x:c r="C837" s="25" t="str">
        <x:v>Mansoura</x:v>
      </x:c>
      <x:c r="D837" s="25" t="str">
        <x:v>Aga</x:v>
      </x:c>
      <x:c r="E837" s="25" t="str">
        <x:v>Youssef Fathy</x:v>
      </x:c>
      <x:c r="F837" s="25" t="str">
        <x:v>Mariam Tarek</x:v>
      </x:c>
      <x:c r="G837" s="25" t="str">
        <x:v>Corporate</x:v>
      </x:c>
      <x:c r="H837" s="25" t="str">
        <x:v>Website</x:v>
      </x:c>
      <x:c r="I837" s="25" t="str">
        <x:v>Furniture</x:v>
      </x:c>
      <x:c r="J837" s="25" t="str">
        <x:v>Sofa</x:v>
      </x:c>
      <x:c r="K837" s="25" t="n">
        <x:v>6</x:v>
      </x:c>
      <x:c r="L837" s="26" t="n">
        <x:v>14016</x:v>
      </x:c>
      <x:c r="M837" s="27" t="n">
        <x:v>0.05</x:v>
      </x:c>
      <x:c r="N837" s="26" t="n">
        <x:f>K837*L837</x:f>
        <x:v>84096</x:v>
      </x:c>
      <x:c r="O837" s="26" t="n">
        <x:f>N837*(1-M837)</x:f>
        <x:v>79891.2</x:v>
      </x:c>
      <x:c r="P837" s="26" t="n">
        <x:v>11169</x:v>
      </x:c>
      <x:c r="Q837" s="26" t="n">
        <x:f>K837*P837</x:f>
        <x:v>67014</x:v>
      </x:c>
      <x:c r="R837" s="26" t="n">
        <x:f>O837-Q837</x:f>
        <x:v>12877.199999999997</x:v>
      </x:c>
      <x:c r="S837" s="28" t="n">
        <x:f>IF(O837=0,0,R837/O837)</x:f>
        <x:v>0.16118421052631576</x:v>
      </x:c>
      <x:c r="T837" s="25" t="str">
        <x:v>Bank Transfer</x:v>
      </x:c>
      <x:c r="U837" s="25" t="str">
        <x:v>Completed</x:v>
      </x:c>
      <x:c r="V837" s="29" t="n">
        <x:v>5</x:v>
      </x:c>
    </x:row>
    <x:row r="838">
      <x:c r="A838" s="23" t="str">
        <x:v>MAN-2025-00837</x:v>
      </x:c>
      <x:c r="B838" s="24" t="n">
        <x:v>45810</x:v>
      </x:c>
      <x:c r="C838" s="25" t="str">
        <x:v>Mansoura</x:v>
      </x:c>
      <x:c r="D838" s="25" t="str">
        <x:v>Aga</x:v>
      </x:c>
      <x:c r="E838" s="25" t="str">
        <x:v>Aya Farouk</x:v>
      </x:c>
      <x:c r="F838" s="25" t="str">
        <x:v>Amr Tarek</x:v>
      </x:c>
      <x:c r="G838" s="25" t="str">
        <x:v>Corporate</x:v>
      </x:c>
      <x:c r="H838" s="25" t="str">
        <x:v>Phone Order</x:v>
      </x:c>
      <x:c r="I838" s="25" t="str">
        <x:v>Furniture</x:v>
      </x:c>
      <x:c r="J838" s="25" t="str">
        <x:v>Office Chair</x:v>
      </x:c>
      <x:c r="K838" s="25" t="n">
        <x:v>2</x:v>
      </x:c>
      <x:c r="L838" s="26" t="n">
        <x:v>3869</x:v>
      </x:c>
      <x:c r="M838" s="27" t="n">
        <x:v>0.05</x:v>
      </x:c>
      <x:c r="N838" s="26" t="n">
        <x:f>K838*L838</x:f>
        <x:v>7738</x:v>
      </x:c>
      <x:c r="O838" s="26" t="n">
        <x:f>N838*(1-M838)</x:f>
        <x:v>7351.099999999999</x:v>
      </x:c>
      <x:c r="P838" s="26" t="n">
        <x:v>2766</x:v>
      </x:c>
      <x:c r="Q838" s="26" t="n">
        <x:f>K838*P838</x:f>
        <x:v>5532</x:v>
      </x:c>
      <x:c r="R838" s="26" t="n">
        <x:f>O838-Q838</x:f>
        <x:v>1819.0999999999995</x:v>
      </x:c>
      <x:c r="S838" s="28" t="n">
        <x:f>IF(O838=0,0,R838/O838)</x:f>
        <x:v>0.2474595638747942</x:v>
      </x:c>
      <x:c r="T838" s="25" t="str">
        <x:v>Digital Wallet</x:v>
      </x:c>
      <x:c r="U838" s="25" t="str">
        <x:v>Completed</x:v>
      </x:c>
      <x:c r="V838" s="29" t="n">
        <x:v>4</x:v>
      </x:c>
    </x:row>
    <x:row r="839">
      <x:c r="A839" s="23" t="str">
        <x:v>MAN-2025-00838</x:v>
      </x:c>
      <x:c r="B839" s="24" t="n">
        <x:v>45883</x:v>
      </x:c>
      <x:c r="C839" s="25" t="str">
        <x:v>Mansoura</x:v>
      </x:c>
      <x:c r="D839" s="25" t="str">
        <x:v>Talkha</x:v>
      </x:c>
      <x:c r="E839" s="25" t="str">
        <x:v>Youssef Fathy</x:v>
      </x:c>
      <x:c r="F839" s="25" t="str">
        <x:v>Sara Khalil</x:v>
      </x:c>
      <x:c r="G839" s="25" t="str">
        <x:v>Small Business</x:v>
      </x:c>
      <x:c r="H839" s="25" t="str">
        <x:v>Mobile App</x:v>
      </x:c>
      <x:c r="I839" s="25" t="str">
        <x:v>Furniture</x:v>
      </x:c>
      <x:c r="J839" s="25" t="str">
        <x:v>Sofa</x:v>
      </x:c>
      <x:c r="K839" s="25" t="n">
        <x:v>5</x:v>
      </x:c>
      <x:c r="L839" s="26" t="n">
        <x:v>13608</x:v>
      </x:c>
      <x:c r="M839" s="27" t="n">
        <x:v>0.1</x:v>
      </x:c>
      <x:c r="N839" s="26" t="n">
        <x:f>K839*L839</x:f>
        <x:v>68040</x:v>
      </x:c>
      <x:c r="O839" s="26" t="n">
        <x:f>N839*(1-M839)</x:f>
        <x:v>61236</x:v>
      </x:c>
      <x:c r="P839" s="26" t="n">
        <x:v>10476</x:v>
      </x:c>
      <x:c r="Q839" s="26" t="n">
        <x:f>K839*P839</x:f>
        <x:v>52380</x:v>
      </x:c>
      <x:c r="R839" s="26" t="n">
        <x:f>O839-Q839</x:f>
        <x:v>8856</x:v>
      </x:c>
      <x:c r="S839" s="28" t="n">
        <x:f>IF(O839=0,0,R839/O839)</x:f>
        <x:v>0.14462081128747795</x:v>
      </x:c>
      <x:c r="T839" s="25" t="str">
        <x:v>Credit Card</x:v>
      </x:c>
      <x:c r="U839" s="25" t="str">
        <x:v>Returned</x:v>
      </x:c>
      <x:c r="V839" s="29" t="n">
        <x:v>4</x:v>
      </x:c>
    </x:row>
    <x:row r="840">
      <x:c r="A840" s="23" t="str">
        <x:v>MAN-2025-00839</x:v>
      </x:c>
      <x:c r="B840" s="24" t="n">
        <x:v>45920</x:v>
      </x:c>
      <x:c r="C840" s="25" t="str">
        <x:v>Mansoura</x:v>
      </x:c>
      <x:c r="D840" s="25" t="str">
        <x:v>Mit Ghamr</x:v>
      </x:c>
      <x:c r="E840" s="25" t="str">
        <x:v>Youssef Fathy</x:v>
      </x:c>
      <x:c r="F840" s="25" t="str">
        <x:v>Mostafa Fathy</x:v>
      </x:c>
      <x:c r="G840" s="25" t="str">
        <x:v>Consumer</x:v>
      </x:c>
      <x:c r="H840" s="25" t="str">
        <x:v>Mobile App</x:v>
      </x:c>
      <x:c r="I840" s="25" t="str">
        <x:v>Home Appliances</x:v>
      </x:c>
      <x:c r="J840" s="25" t="str">
        <x:v>Air Conditioner</x:v>
      </x:c>
      <x:c r="K840" s="25" t="n">
        <x:v>5</x:v>
      </x:c>
      <x:c r="L840" s="26" t="n">
        <x:v>21546</x:v>
      </x:c>
      <x:c r="M840" s="27" t="n">
        <x:v>0.1</x:v>
      </x:c>
      <x:c r="N840" s="26" t="n">
        <x:f>K840*L840</x:f>
        <x:v>107730</x:v>
      </x:c>
      <x:c r="O840" s="26" t="n">
        <x:f>N840*(1-M840)</x:f>
        <x:v>96957</x:v>
      </x:c>
      <x:c r="P840" s="26" t="n">
        <x:v>17466</x:v>
      </x:c>
      <x:c r="Q840" s="26" t="n">
        <x:f>K840*P840</x:f>
        <x:v>87330</x:v>
      </x:c>
      <x:c r="R840" s="26" t="n">
        <x:f>O840-Q840</x:f>
        <x:v>9627</x:v>
      </x:c>
      <x:c r="S840" s="28" t="n">
        <x:f>IF(O840=0,0,R840/O840)</x:f>
        <x:v>0.09929143847272502</x:v>
      </x:c>
      <x:c r="T840" s="25" t="str">
        <x:v>Credit Card</x:v>
      </x:c>
      <x:c r="U840" s="25" t="str">
        <x:v>Completed</x:v>
      </x:c>
      <x:c r="V840" s="29" t="n">
        <x:v>5</x:v>
      </x:c>
    </x:row>
    <x:row r="841">
      <x:c r="A841" s="23" t="str">
        <x:v>MAN-2025-00840</x:v>
      </x:c>
      <x:c r="B841" s="24" t="n">
        <x:v>45937</x:v>
      </x:c>
      <x:c r="C841" s="25" t="str">
        <x:v>Mansoura</x:v>
      </x:c>
      <x:c r="D841" s="25" t="str">
        <x:v>Sherbin</x:v>
      </x:c>
      <x:c r="E841" s="25" t="str">
        <x:v>Salma Mansour</x:v>
      </x:c>
      <x:c r="F841" s="25" t="str">
        <x:v>Mohamed Fathy</x:v>
      </x:c>
      <x:c r="G841" s="25" t="str">
        <x:v>Corporate</x:v>
      </x:c>
      <x:c r="H841" s="25" t="str">
        <x:v>Retail Store</x:v>
      </x:c>
      <x:c r="I841" s="25" t="str">
        <x:v>Home Appliances</x:v>
      </x:c>
      <x:c r="J841" s="25" t="str">
        <x:v>Blender</x:v>
      </x:c>
      <x:c r="K841" s="25" t="n">
        <x:v>2</x:v>
      </x:c>
      <x:c r="L841" s="26" t="n">
        <x:v>1844</x:v>
      </x:c>
      <x:c r="M841" s="27" t="n">
        <x:v>0.05</x:v>
      </x:c>
      <x:c r="N841" s="26" t="n">
        <x:f>K841*L841</x:f>
        <x:v>3688</x:v>
      </x:c>
      <x:c r="O841" s="26" t="n">
        <x:f>N841*(1-M841)</x:f>
        <x:v>3503.6</x:v>
      </x:c>
      <x:c r="P841" s="26" t="n">
        <x:v>1266</x:v>
      </x:c>
      <x:c r="Q841" s="26" t="n">
        <x:f>K841*P841</x:f>
        <x:v>2532</x:v>
      </x:c>
      <x:c r="R841" s="26" t="n">
        <x:f>O841-Q841</x:f>
        <x:v>971.5999999999999</x:v>
      </x:c>
      <x:c r="S841" s="28" t="n">
        <x:f>IF(O841=0,0,R841/O841)</x:f>
        <x:v>0.27731476195912774</x:v>
      </x:c>
      <x:c r="T841" s="25" t="str">
        <x:v>Cash</x:v>
      </x:c>
      <x:c r="U841" s="25" t="str">
        <x:v>Cancelled</x:v>
      </x:c>
      <x:c r="V841" s="29" t="n">
        <x:v>4</x:v>
      </x:c>
    </x:row>
    <x:row r="842">
      <x:c r="A842" s="23" t="str">
        <x:v>MAN-2025-00841</x:v>
      </x:c>
      <x:c r="B842" s="24" t="n">
        <x:v>45713</x:v>
      </x:c>
      <x:c r="C842" s="25" t="str">
        <x:v>Mansoura</x:v>
      </x:c>
      <x:c r="D842" s="25" t="str">
        <x:v>Mit Ghamr</x:v>
      </x:c>
      <x:c r="E842" s="25" t="str">
        <x:v>Ali Sayed</x:v>
      </x:c>
      <x:c r="F842" s="25" t="str">
        <x:v>Farah Mansour</x:v>
      </x:c>
      <x:c r="G842" s="25" t="str">
        <x:v>Consumer</x:v>
      </x:c>
      <x:c r="H842" s="25" t="str">
        <x:v>Phone Order</x:v>
      </x:c>
      <x:c r="I842" s="25" t="str">
        <x:v>Electronics</x:v>
      </x:c>
      <x:c r="J842" s="25" t="str">
        <x:v>Headphones</x:v>
      </x:c>
      <x:c r="K842" s="25" t="n">
        <x:v>3</x:v>
      </x:c>
      <x:c r="L842" s="26" t="n">
        <x:v>1719</x:v>
      </x:c>
      <x:c r="M842" s="27" t="n">
        <x:v>0.1</x:v>
      </x:c>
      <x:c r="N842" s="26" t="n">
        <x:f>K842*L842</x:f>
        <x:v>5157</x:v>
      </x:c>
      <x:c r="O842" s="26" t="n">
        <x:f>N842*(1-M842)</x:f>
        <x:v>4641.3</x:v>
      </x:c>
      <x:c r="P842" s="26" t="n">
        <x:v>1129</x:v>
      </x:c>
      <x:c r="Q842" s="26" t="n">
        <x:f>K842*P842</x:f>
        <x:v>3387</x:v>
      </x:c>
      <x:c r="R842" s="26" t="n">
        <x:f>O842-Q842</x:f>
        <x:v>1254.3000000000002</x:v>
      </x:c>
      <x:c r="S842" s="28" t="n">
        <x:f>IF(O842=0,0,R842/O842)</x:f>
        <x:v>0.27024755995087585</x:v>
      </x:c>
      <x:c r="T842" s="25" t="str">
        <x:v>Cash</x:v>
      </x:c>
      <x:c r="U842" s="25" t="str">
        <x:v>Returned</x:v>
      </x:c>
      <x:c r="V842" s="29" t="n">
        <x:v>4</x:v>
      </x:c>
    </x:row>
    <x:row r="843">
      <x:c r="A843" s="23" t="str">
        <x:v>MAN-2025-00842</x:v>
      </x:c>
      <x:c r="B843" s="24" t="n">
        <x:v>45926</x:v>
      </x:c>
      <x:c r="C843" s="25" t="str">
        <x:v>Mansoura</x:v>
      </x:c>
      <x:c r="D843" s="25" t="str">
        <x:v>Aga</x:v>
      </x:c>
      <x:c r="E843" s="25" t="str">
        <x:v>Aya Farouk</x:v>
      </x:c>
      <x:c r="F843" s="25" t="str">
        <x:v>Youssef Samir</x:v>
      </x:c>
      <x:c r="G843" s="25" t="str">
        <x:v>Consumer</x:v>
      </x:c>
      <x:c r="H843" s="25" t="str">
        <x:v>Phone Order</x:v>
      </x:c>
      <x:c r="I843" s="25" t="str">
        <x:v>Furniture</x:v>
      </x:c>
      <x:c r="J843" s="25" t="str">
        <x:v>Office Chair</x:v>
      </x:c>
      <x:c r="K843" s="25" t="n">
        <x:v>1</x:v>
      </x:c>
      <x:c r="L843" s="26" t="n">
        <x:v>3775</x:v>
      </x:c>
      <x:c r="M843" s="27" t="n">
        <x:v>0.15</x:v>
      </x:c>
      <x:c r="N843" s="26" t="n">
        <x:f>K843*L843</x:f>
        <x:v>3775</x:v>
      </x:c>
      <x:c r="O843" s="26" t="n">
        <x:f>N843*(1-M843)</x:f>
        <x:v>3208.75</x:v>
      </x:c>
      <x:c r="P843" s="26" t="n">
        <x:v>2800</x:v>
      </x:c>
      <x:c r="Q843" s="26" t="n">
        <x:f>K843*P843</x:f>
        <x:v>2800</x:v>
      </x:c>
      <x:c r="R843" s="26" t="n">
        <x:f>O843-Q843</x:f>
        <x:v>408.75</x:v>
      </x:c>
      <x:c r="S843" s="28" t="n">
        <x:f>IF(O843=0,0,R843/O843)</x:f>
        <x:v>0.12738605375925205</x:v>
      </x:c>
      <x:c r="T843" s="25" t="str">
        <x:v>Digital Wallet</x:v>
      </x:c>
      <x:c r="U843" s="25" t="str">
        <x:v>Completed</x:v>
      </x:c>
      <x:c r="V843" s="29" t="n">
        <x:v>4</x:v>
      </x:c>
    </x:row>
    <x:row r="844">
      <x:c r="A844" s="23" t="str">
        <x:v>MAN-2025-00843</x:v>
      </x:c>
      <x:c r="B844" s="24" t="n">
        <x:v>45983</x:v>
      </x:c>
      <x:c r="C844" s="25" t="str">
        <x:v>Mansoura</x:v>
      </x:c>
      <x:c r="D844" s="25" t="str">
        <x:v>Aga</x:v>
      </x:c>
      <x:c r="E844" s="25" t="str">
        <x:v>Youssef Fathy</x:v>
      </x:c>
      <x:c r="F844" s="25" t="str">
        <x:v>Youssef Samir</x:v>
      </x:c>
      <x:c r="G844" s="25" t="str">
        <x:v>Corporate</x:v>
      </x:c>
      <x:c r="H844" s="25" t="str">
        <x:v>Mobile App</x:v>
      </x:c>
      <x:c r="I844" s="25" t="str">
        <x:v>Home Appliances</x:v>
      </x:c>
      <x:c r="J844" s="25" t="str">
        <x:v>Air Conditioner</x:v>
      </x:c>
      <x:c r="K844" s="25" t="n">
        <x:v>1</x:v>
      </x:c>
      <x:c r="L844" s="26" t="n">
        <x:v>20438</x:v>
      </x:c>
      <x:c r="M844" s="27" t="n">
        <x:v>0.05</x:v>
      </x:c>
      <x:c r="N844" s="26" t="n">
        <x:f>K844*L844</x:f>
        <x:v>20438</x:v>
      </x:c>
      <x:c r="O844" s="26" t="n">
        <x:f>N844*(1-M844)</x:f>
        <x:v>19416.1</x:v>
      </x:c>
      <x:c r="P844" s="26" t="n">
        <x:v>17358</x:v>
      </x:c>
      <x:c r="Q844" s="26" t="n">
        <x:f>K844*P844</x:f>
        <x:v>17358</x:v>
      </x:c>
      <x:c r="R844" s="26" t="n">
        <x:f>O844-Q844</x:f>
        <x:v>2058.0999999999985</x:v>
      </x:c>
      <x:c r="S844" s="28" t="n">
        <x:f>IF(O844=0,0,R844/O844)</x:f>
        <x:v>0.10599966007591631</x:v>
      </x:c>
      <x:c r="T844" s="25" t="str">
        <x:v>Bank Transfer</x:v>
      </x:c>
      <x:c r="U844" s="25" t="str">
        <x:v>Completed</x:v>
      </x:c>
      <x:c r="V844" s="29" t="n">
        <x:v>4</x:v>
      </x:c>
    </x:row>
    <x:row r="845">
      <x:c r="A845" s="23" t="str">
        <x:v>MAN-2025-00844</x:v>
      </x:c>
      <x:c r="B845" s="24" t="n">
        <x:v>46007</x:v>
      </x:c>
      <x:c r="C845" s="25" t="str">
        <x:v>Mansoura</x:v>
      </x:c>
      <x:c r="D845" s="25" t="str">
        <x:v>Talkha</x:v>
      </x:c>
      <x:c r="E845" s="25" t="str">
        <x:v>Aya Farouk</x:v>
      </x:c>
      <x:c r="F845" s="25" t="str">
        <x:v>Mohamed Sayed</x:v>
      </x:c>
      <x:c r="G845" s="25" t="str">
        <x:v>Consumer</x:v>
      </x:c>
      <x:c r="H845" s="25" t="str">
        <x:v>Retail Store</x:v>
      </x:c>
      <x:c r="I845" s="25" t="str">
        <x:v>Electronics</x:v>
      </x:c>
      <x:c r="J845" s="25" t="str">
        <x:v>Tablet</x:v>
      </x:c>
      <x:c r="K845" s="25" t="n">
        <x:v>2</x:v>
      </x:c>
      <x:c r="L845" s="26" t="n">
        <x:v>8625</x:v>
      </x:c>
      <x:c r="M845" s="27" t="n">
        <x:v>0.1</x:v>
      </x:c>
      <x:c r="N845" s="26" t="n">
        <x:f>K845*L845</x:f>
        <x:v>17250</x:v>
      </x:c>
      <x:c r="O845" s="26" t="n">
        <x:f>N845*(1-M845)</x:f>
        <x:v>15525</x:v>
      </x:c>
      <x:c r="P845" s="26" t="n">
        <x:v>7097</x:v>
      </x:c>
      <x:c r="Q845" s="26" t="n">
        <x:f>K845*P845</x:f>
        <x:v>14194</x:v>
      </x:c>
      <x:c r="R845" s="26" t="n">
        <x:f>O845-Q845</x:f>
        <x:v>1331</x:v>
      </x:c>
      <x:c r="S845" s="28" t="n">
        <x:f>IF(O845=0,0,R845/O845)</x:f>
        <x:v>0.08573268921095008</x:v>
      </x:c>
      <x:c r="T845" s="25" t="str">
        <x:v>Debit Card</x:v>
      </x:c>
      <x:c r="U845" s="25" t="str">
        <x:v>Returned</x:v>
      </x:c>
      <x:c r="V845" s="29" t="n">
        <x:v>4</x:v>
      </x:c>
    </x:row>
    <x:row r="846">
      <x:c r="A846" s="23" t="str">
        <x:v>MAN-2025-00845</x:v>
      </x:c>
      <x:c r="B846" s="24" t="n">
        <x:v>45956</x:v>
      </x:c>
      <x:c r="C846" s="25" t="str">
        <x:v>Mansoura</x:v>
      </x:c>
      <x:c r="D846" s="25" t="str">
        <x:v>Mit Ghamr</x:v>
      </x:c>
      <x:c r="E846" s="25" t="str">
        <x:v>Salma Mansour</x:v>
      </x:c>
      <x:c r="F846" s="25" t="str">
        <x:v>Sara Sayed</x:v>
      </x:c>
      <x:c r="G846" s="25" t="str">
        <x:v>Small Business</x:v>
      </x:c>
      <x:c r="H846" s="25" t="str">
        <x:v>Retail Store</x:v>
      </x:c>
      <x:c r="I846" s="25" t="str">
        <x:v>Office Supplies</x:v>
      </x:c>
      <x:c r="J846" s="25" t="str">
        <x:v>Ink Cartridge</x:v>
      </x:c>
      <x:c r="K846" s="25" t="n">
        <x:v>4</x:v>
      </x:c>
      <x:c r="L846" s="26" t="n">
        <x:v>813</x:v>
      </x:c>
      <x:c r="M846" s="27" t="n">
        <x:v>0.15</x:v>
      </x:c>
      <x:c r="N846" s="26" t="n">
        <x:f>K846*L846</x:f>
        <x:v>3252</x:v>
      </x:c>
      <x:c r="O846" s="26" t="n">
        <x:f>N846*(1-M846)</x:f>
        <x:v>2764.2</x:v>
      </x:c>
      <x:c r="P846" s="26" t="n">
        <x:v>586</x:v>
      </x:c>
      <x:c r="Q846" s="26" t="n">
        <x:f>K846*P846</x:f>
        <x:v>2344</x:v>
      </x:c>
      <x:c r="R846" s="26" t="n">
        <x:f>O846-Q846</x:f>
        <x:v>420.1999999999998</x:v>
      </x:c>
      <x:c r="S846" s="28" t="n">
        <x:f>IF(O846=0,0,R846/O846)</x:f>
        <x:v>0.15201504956226028</x:v>
      </x:c>
      <x:c r="T846" s="25" t="str">
        <x:v>Cash</x:v>
      </x:c>
      <x:c r="U846" s="25" t="str">
        <x:v>Completed</x:v>
      </x:c>
      <x:c r="V846" s="29" t="n">
        <x:v>5</x:v>
      </x:c>
    </x:row>
    <x:row r="847">
      <x:c r="A847" s="23" t="str">
        <x:v>MAN-2025-00846</x:v>
      </x:c>
      <x:c r="B847" s="24" t="n">
        <x:v>45836</x:v>
      </x:c>
      <x:c r="C847" s="25" t="str">
        <x:v>Mansoura</x:v>
      </x:c>
      <x:c r="D847" s="25" t="str">
        <x:v>Sherbin</x:v>
      </x:c>
      <x:c r="E847" s="25" t="str">
        <x:v>Youssef Fathy</x:v>
      </x:c>
      <x:c r="F847" s="25" t="str">
        <x:v>Ali Fathy</x:v>
      </x:c>
      <x:c r="G847" s="25" t="str">
        <x:v>Small Business</x:v>
      </x:c>
      <x:c r="H847" s="25" t="str">
        <x:v>Website</x:v>
      </x:c>
      <x:c r="I847" s="25" t="str">
        <x:v>Office Supplies</x:v>
      </x:c>
      <x:c r="J847" s="25" t="str">
        <x:v>Calculator</x:v>
      </x:c>
      <x:c r="K847" s="25" t="n">
        <x:v>1</x:v>
      </x:c>
      <x:c r="L847" s="26" t="n">
        <x:v>466</x:v>
      </x:c>
      <x:c r="M847" s="27" t="n">
        <x:v>0.05</x:v>
      </x:c>
      <x:c r="N847" s="26" t="n">
        <x:f>K847*L847</x:f>
        <x:v>466</x:v>
      </x:c>
      <x:c r="O847" s="26" t="n">
        <x:f>N847*(1-M847)</x:f>
        <x:v>442.7</x:v>
      </x:c>
      <x:c r="P847" s="26" t="n">
        <x:v>284</x:v>
      </x:c>
      <x:c r="Q847" s="26" t="n">
        <x:f>K847*P847</x:f>
        <x:v>284</x:v>
      </x:c>
      <x:c r="R847" s="26" t="n">
        <x:f>O847-Q847</x:f>
        <x:v>158.7</x:v>
      </x:c>
      <x:c r="S847" s="28" t="n">
        <x:f>IF(O847=0,0,R847/O847)</x:f>
        <x:v>0.3584820420149085</x:v>
      </x:c>
      <x:c r="T847" s="25" t="str">
        <x:v>Bank Transfer</x:v>
      </x:c>
      <x:c r="U847" s="25" t="str">
        <x:v>Completed</x:v>
      </x:c>
      <x:c r="V847" s="29" t="n">
        <x:v>5</x:v>
      </x:c>
    </x:row>
    <x:row r="848">
      <x:c r="A848" s="23" t="str">
        <x:v>MAN-2025-00847</x:v>
      </x:c>
      <x:c r="B848" s="24" t="n">
        <x:v>45846</x:v>
      </x:c>
      <x:c r="C848" s="25" t="str">
        <x:v>Mansoura</x:v>
      </x:c>
      <x:c r="D848" s="25" t="str">
        <x:v>Talkha</x:v>
      </x:c>
      <x:c r="E848" s="25" t="str">
        <x:v>Youssef Fathy</x:v>
      </x:c>
      <x:c r="F848" s="25" t="str">
        <x:v>Aya Sayed</x:v>
      </x:c>
      <x:c r="G848" s="25" t="str">
        <x:v>Corporate</x:v>
      </x:c>
      <x:c r="H848" s="25" t="str">
        <x:v>Phone Order</x:v>
      </x:c>
      <x:c r="I848" s="25" t="str">
        <x:v>Furniture</x:v>
      </x:c>
      <x:c r="J848" s="25" t="str">
        <x:v>Office Chair</x:v>
      </x:c>
      <x:c r="K848" s="25" t="n">
        <x:v>5</x:v>
      </x:c>
      <x:c r="L848" s="26" t="n">
        <x:v>3766</x:v>
      </x:c>
      <x:c r="M848" s="27" t="n">
        <x:v>0.1</x:v>
      </x:c>
      <x:c r="N848" s="26" t="n">
        <x:f>K848*L848</x:f>
        <x:v>18830</x:v>
      </x:c>
      <x:c r="O848" s="26" t="n">
        <x:f>N848*(1-M848)</x:f>
        <x:v>16947</x:v>
      </x:c>
      <x:c r="P848" s="26" t="n">
        <x:v>2851</x:v>
      </x:c>
      <x:c r="Q848" s="26" t="n">
        <x:f>K848*P848</x:f>
        <x:v>14255</x:v>
      </x:c>
      <x:c r="R848" s="26" t="n">
        <x:f>O848-Q848</x:f>
        <x:v>2692</x:v>
      </x:c>
      <x:c r="S848" s="28" t="n">
        <x:f>IF(O848=0,0,R848/O848)</x:f>
        <x:v>0.1588481737180622</x:v>
      </x:c>
      <x:c r="T848" s="25" t="str">
        <x:v>Credit Card</x:v>
      </x:c>
      <x:c r="U848" s="25" t="str">
        <x:v>Completed</x:v>
      </x:c>
      <x:c r="V848" s="29" t="n">
        <x:v>4</x:v>
      </x:c>
    </x:row>
    <x:row r="849">
      <x:c r="A849" s="23" t="str">
        <x:v>MAN-2025-00848</x:v>
      </x:c>
      <x:c r="B849" s="24" t="n">
        <x:v>45791</x:v>
      </x:c>
      <x:c r="C849" s="25" t="str">
        <x:v>Mansoura</x:v>
      </x:c>
      <x:c r="D849" s="25" t="str">
        <x:v>Mansoura City</x:v>
      </x:c>
      <x:c r="E849" s="25" t="str">
        <x:v>Youssef Fathy</x:v>
      </x:c>
      <x:c r="F849" s="25" t="str">
        <x:v>Karim Hassan</x:v>
      </x:c>
      <x:c r="G849" s="25" t="str">
        <x:v>Small Business</x:v>
      </x:c>
      <x:c r="H849" s="25" t="str">
        <x:v>Mobile App</x:v>
      </x:c>
      <x:c r="I849" s="25" t="str">
        <x:v>Home Appliances</x:v>
      </x:c>
      <x:c r="J849" s="25" t="str">
        <x:v>Air Conditioner</x:v>
      </x:c>
      <x:c r="K849" s="25" t="n">
        <x:v>6</x:v>
      </x:c>
      <x:c r="L849" s="26" t="n">
        <x:v>21869</x:v>
      </x:c>
      <x:c r="M849" s="27" t="n">
        <x:v>0.05</x:v>
      </x:c>
      <x:c r="N849" s="26" t="n">
        <x:f>K849*L849</x:f>
        <x:v>131214</x:v>
      </x:c>
      <x:c r="O849" s="26" t="n">
        <x:f>N849*(1-M849)</x:f>
        <x:v>124653.29999999999</x:v>
      </x:c>
      <x:c r="P849" s="26" t="n">
        <x:v>17215</x:v>
      </x:c>
      <x:c r="Q849" s="26" t="n">
        <x:f>K849*P849</x:f>
        <x:v>103290</x:v>
      </x:c>
      <x:c r="R849" s="26" t="n">
        <x:f>O849-Q849</x:f>
        <x:v>21363.29999999999</x:v>
      </x:c>
      <x:c r="S849" s="28" t="n">
        <x:f>IF(O849=0,0,R849/O849)</x:f>
        <x:v>0.1713817444062852</x:v>
      </x:c>
      <x:c r="T849" s="25" t="str">
        <x:v>Cash</x:v>
      </x:c>
      <x:c r="U849" s="25" t="str">
        <x:v>Cancelled</x:v>
      </x:c>
      <x:c r="V849" s="29" t="n">
        <x:v>3</x:v>
      </x:c>
    </x:row>
    <x:row r="850">
      <x:c r="A850" s="23" t="str">
        <x:v>MAN-2025-00849</x:v>
      </x:c>
      <x:c r="B850" s="24" t="n">
        <x:v>45899</x:v>
      </x:c>
      <x:c r="C850" s="25" t="str">
        <x:v>Mansoura</x:v>
      </x:c>
      <x:c r="D850" s="25" t="str">
        <x:v>Sherbin</x:v>
      </x:c>
      <x:c r="E850" s="25" t="str">
        <x:v>Ali Sayed</x:v>
      </x:c>
      <x:c r="F850" s="25" t="str">
        <x:v>Sara Mansour</x:v>
      </x:c>
      <x:c r="G850" s="25" t="str">
        <x:v>Small Business</x:v>
      </x:c>
      <x:c r="H850" s="25" t="str">
        <x:v>Website</x:v>
      </x:c>
      <x:c r="I850" s="25" t="str">
        <x:v>Office Supplies</x:v>
      </x:c>
      <x:c r="J850" s="25" t="str">
        <x:v>Calculator</x:v>
      </x:c>
      <x:c r="K850" s="25" t="n">
        <x:v>5</x:v>
      </x:c>
      <x:c r="L850" s="26" t="n">
        <x:v>421</x:v>
      </x:c>
      <x:c r="M850" s="27" t="n">
        <x:v>0.05</x:v>
      </x:c>
      <x:c r="N850" s="26" t="n">
        <x:f>K850*L850</x:f>
        <x:v>2105</x:v>
      </x:c>
      <x:c r="O850" s="26" t="n">
        <x:f>N850*(1-M850)</x:f>
        <x:v>1999.75</x:v>
      </x:c>
      <x:c r="P850" s="26" t="n">
        <x:v>286</x:v>
      </x:c>
      <x:c r="Q850" s="26" t="n">
        <x:f>K850*P850</x:f>
        <x:v>1430</x:v>
      </x:c>
      <x:c r="R850" s="26" t="n">
        <x:f>O850-Q850</x:f>
        <x:v>569.75</x:v>
      </x:c>
      <x:c r="S850" s="28" t="n">
        <x:f>IF(O850=0,0,R850/O850)</x:f>
        <x:v>0.28491061382672833</x:v>
      </x:c>
      <x:c r="T850" s="25" t="str">
        <x:v>Cash</x:v>
      </x:c>
      <x:c r="U850" s="25" t="str">
        <x:v>Cancelled</x:v>
      </x:c>
      <x:c r="V850" s="29" t="n">
        <x:v>3</x:v>
      </x:c>
    </x:row>
    <x:row r="851">
      <x:c r="A851" s="23" t="str">
        <x:v>MAN-2025-00850</x:v>
      </x:c>
      <x:c r="B851" s="24" t="n">
        <x:v>45707</x:v>
      </x:c>
      <x:c r="C851" s="25" t="str">
        <x:v>Mansoura</x:v>
      </x:c>
      <x:c r="D851" s="25" t="str">
        <x:v>Sherbin</x:v>
      </x:c>
      <x:c r="E851" s="25" t="str">
        <x:v>Salma Mansour</x:v>
      </x:c>
      <x:c r="F851" s="25" t="str">
        <x:v>Mariam Khalil</x:v>
      </x:c>
      <x:c r="G851" s="25" t="str">
        <x:v>Corporate</x:v>
      </x:c>
      <x:c r="H851" s="25" t="str">
        <x:v>Phone Order</x:v>
      </x:c>
      <x:c r="I851" s="25" t="str">
        <x:v>Home Appliances</x:v>
      </x:c>
      <x:c r="J851" s="25" t="str">
        <x:v>Blender</x:v>
      </x:c>
      <x:c r="K851" s="25" t="n">
        <x:v>1</x:v>
      </x:c>
      <x:c r="L851" s="26" t="n">
        <x:v>1740</x:v>
      </x:c>
      <x:c r="M851" s="27" t="n">
        <x:v>0.05</x:v>
      </x:c>
      <x:c r="N851" s="26" t="n">
        <x:f>K851*L851</x:f>
        <x:v>1740</x:v>
      </x:c>
      <x:c r="O851" s="26" t="n">
        <x:f>N851*(1-M851)</x:f>
        <x:v>1653</x:v>
      </x:c>
      <x:c r="P851" s="26" t="n">
        <x:v>1261</x:v>
      </x:c>
      <x:c r="Q851" s="26" t="n">
        <x:f>K851*P851</x:f>
        <x:v>1261</x:v>
      </x:c>
      <x:c r="R851" s="26" t="n">
        <x:f>O851-Q851</x:f>
        <x:v>392</x:v>
      </x:c>
      <x:c r="S851" s="28" t="n">
        <x:f>IF(O851=0,0,R851/O851)</x:f>
        <x:v>0.23714458560193588</x:v>
      </x:c>
      <x:c r="T851" s="25" t="str">
        <x:v>Credit Card</x:v>
      </x:c>
      <x:c r="U851" s="25" t="str">
        <x:v>Completed</x:v>
      </x:c>
      <x:c r="V851" s="29" t="n">
        <x:v>4</x:v>
      </x:c>
    </x:row>
    <x:row r="852">
      <x:c r="A852" s="23" t="str">
        <x:v>MAN-2025-00851</x:v>
      </x:c>
      <x:c r="B852" s="24" t="n">
        <x:v>45680</x:v>
      </x:c>
      <x:c r="C852" s="25" t="str">
        <x:v>Mansoura</x:v>
      </x:c>
      <x:c r="D852" s="25" t="str">
        <x:v>Mansoura City</x:v>
      </x:c>
      <x:c r="E852" s="25" t="str">
        <x:v>Ali Sayed</x:v>
      </x:c>
      <x:c r="F852" s="25" t="str">
        <x:v>Nour Gamal</x:v>
      </x:c>
      <x:c r="G852" s="25" t="str">
        <x:v>Small Business</x:v>
      </x:c>
      <x:c r="H852" s="25" t="str">
        <x:v>Retail Store</x:v>
      </x:c>
      <x:c r="I852" s="25" t="str">
        <x:v>Office Supplies</x:v>
      </x:c>
      <x:c r="J852" s="25" t="str">
        <x:v>Calculator</x:v>
      </x:c>
      <x:c r="K852" s="25" t="n">
        <x:v>1</x:v>
      </x:c>
      <x:c r="L852" s="26" t="n">
        <x:v>460</x:v>
      </x:c>
      <x:c r="M852" s="27" t="n">
        <x:v>0.05</x:v>
      </x:c>
      <x:c r="N852" s="26" t="n">
        <x:f>K852*L852</x:f>
        <x:v>460</x:v>
      </x:c>
      <x:c r="O852" s="26" t="n">
        <x:f>N852*(1-M852)</x:f>
        <x:v>437</x:v>
      </x:c>
      <x:c r="P852" s="26" t="n">
        <x:v>282</x:v>
      </x:c>
      <x:c r="Q852" s="26" t="n">
        <x:f>K852*P852</x:f>
        <x:v>282</x:v>
      </x:c>
      <x:c r="R852" s="26" t="n">
        <x:f>O852-Q852</x:f>
        <x:v>155</x:v>
      </x:c>
      <x:c r="S852" s="28" t="n">
        <x:f>IF(O852=0,0,R852/O852)</x:f>
        <x:v>0.35469107551487417</x:v>
      </x:c>
      <x:c r="T852" s="25" t="str">
        <x:v>Bank Transfer</x:v>
      </x:c>
      <x:c r="U852" s="25" t="str">
        <x:v>Completed</x:v>
      </x:c>
      <x:c r="V852" s="29" t="n">
        <x:v>3</x:v>
      </x:c>
    </x:row>
    <x:row r="853">
      <x:c r="A853" s="23" t="str">
        <x:v>MAN-2025-00852</x:v>
      </x:c>
      <x:c r="B853" s="24" t="n">
        <x:v>45770</x:v>
      </x:c>
      <x:c r="C853" s="25" t="str">
        <x:v>Mansoura</x:v>
      </x:c>
      <x:c r="D853" s="25" t="str">
        <x:v>Aga</x:v>
      </x:c>
      <x:c r="E853" s="25" t="str">
        <x:v>Youssef Fathy</x:v>
      </x:c>
      <x:c r="F853" s="25" t="str">
        <x:v>Aya Mansour</x:v>
      </x:c>
      <x:c r="G853" s="25" t="str">
        <x:v>Small Business</x:v>
      </x:c>
      <x:c r="H853" s="25" t="str">
        <x:v>Retail Store</x:v>
      </x:c>
      <x:c r="I853" s="25" t="str">
        <x:v>Home Appliances</x:v>
      </x:c>
      <x:c r="J853" s="25" t="str">
        <x:v>Washing Machine</x:v>
      </x:c>
      <x:c r="K853" s="25" t="n">
        <x:v>3</x:v>
      </x:c>
      <x:c r="L853" s="26" t="n">
        <x:v>16055</x:v>
      </x:c>
      <x:c r="M853" s="27" t="n">
        <x:v>0</x:v>
      </x:c>
      <x:c r="N853" s="26" t="n">
        <x:f>K853*L853</x:f>
        <x:v>48165</x:v>
      </x:c>
      <x:c r="O853" s="26" t="n">
        <x:f>N853*(1-M853)</x:f>
        <x:v>48165</x:v>
      </x:c>
      <x:c r="P853" s="26" t="n">
        <x:v>14266</x:v>
      </x:c>
      <x:c r="Q853" s="26" t="n">
        <x:f>K853*P853</x:f>
        <x:v>42798</x:v>
      </x:c>
      <x:c r="R853" s="26" t="n">
        <x:f>O853-Q853</x:f>
        <x:v>5367</x:v>
      </x:c>
      <x:c r="S853" s="28" t="n">
        <x:f>IF(O853=0,0,R853/O853)</x:f>
        <x:v>0.11142946122703208</x:v>
      </x:c>
      <x:c r="T853" s="25" t="str">
        <x:v>Credit Card</x:v>
      </x:c>
      <x:c r="U853" s="25" t="str">
        <x:v>Completed</x:v>
      </x:c>
      <x:c r="V853" s="29" t="n">
        <x:v>5</x:v>
      </x:c>
    </x:row>
    <x:row r="854">
      <x:c r="A854" s="23" t="str">
        <x:v>MAN-2025-00853</x:v>
      </x:c>
      <x:c r="B854" s="24" t="n">
        <x:v>45938</x:v>
      </x:c>
      <x:c r="C854" s="25" t="str">
        <x:v>Mansoura</x:v>
      </x:c>
      <x:c r="D854" s="25" t="str">
        <x:v>Mansoura City</x:v>
      </x:c>
      <x:c r="E854" s="25" t="str">
        <x:v>Youssef Fathy</x:v>
      </x:c>
      <x:c r="F854" s="25" t="str">
        <x:v>Mariam Nasser</x:v>
      </x:c>
      <x:c r="G854" s="25" t="str">
        <x:v>Corporate</x:v>
      </x:c>
      <x:c r="H854" s="25" t="str">
        <x:v>Retail Store</x:v>
      </x:c>
      <x:c r="I854" s="25" t="str">
        <x:v>Electronics</x:v>
      </x:c>
      <x:c r="J854" s="25" t="str">
        <x:v>Laptop</x:v>
      </x:c>
      <x:c r="K854" s="25" t="n">
        <x:v>5</x:v>
      </x:c>
      <x:c r="L854" s="26" t="n">
        <x:v>25311</x:v>
      </x:c>
      <x:c r="M854" s="27" t="n">
        <x:v>0.15</x:v>
      </x:c>
      <x:c r="N854" s="26" t="n">
        <x:f>K854*L854</x:f>
        <x:v>126555</x:v>
      </x:c>
      <x:c r="O854" s="26" t="n">
        <x:f>N854*(1-M854)</x:f>
        <x:v>107571.75</x:v>
      </x:c>
      <x:c r="P854" s="26" t="n">
        <x:v>21813</x:v>
      </x:c>
      <x:c r="Q854" s="26" t="n">
        <x:f>K854*P854</x:f>
        <x:v>109065</x:v>
      </x:c>
      <x:c r="R854" s="26" t="n">
        <x:f>O854-Q854</x:f>
        <x:v>-1493.25</x:v>
      </x:c>
      <x:c r="S854" s="28" t="n">
        <x:f>IF(O854=0,0,R854/O854)</x:f>
        <x:v>-0.013881432625201319</x:v>
      </x:c>
      <x:c r="T854" s="25" t="str">
        <x:v>Credit Card</x:v>
      </x:c>
      <x:c r="U854" s="25" t="str">
        <x:v>Completed</x:v>
      </x:c>
      <x:c r="V854" s="29" t="n">
        <x:v>3</x:v>
      </x:c>
    </x:row>
    <x:row r="855">
      <x:c r="A855" s="23" t="str">
        <x:v>MAN-2025-00854</x:v>
      </x:c>
      <x:c r="B855" s="24" t="n">
        <x:v>45673</x:v>
      </x:c>
      <x:c r="C855" s="25" t="str">
        <x:v>Mansoura</x:v>
      </x:c>
      <x:c r="D855" s="25" t="str">
        <x:v>Talkha</x:v>
      </x:c>
      <x:c r="E855" s="25" t="str">
        <x:v>Ali Sayed</x:v>
      </x:c>
      <x:c r="F855" s="25" t="str">
        <x:v>Mohamed Tarek</x:v>
      </x:c>
      <x:c r="G855" s="25" t="str">
        <x:v>Small Business</x:v>
      </x:c>
      <x:c r="H855" s="25" t="str">
        <x:v>Retail Store</x:v>
      </x:c>
      <x:c r="I855" s="25" t="str">
        <x:v>Furniture</x:v>
      </x:c>
      <x:c r="J855" s="25" t="str">
        <x:v>Sofa</x:v>
      </x:c>
      <x:c r="K855" s="25" t="n">
        <x:v>4</x:v>
      </x:c>
      <x:c r="L855" s="26" t="n">
        <x:v>13185</x:v>
      </x:c>
      <x:c r="M855" s="27" t="n">
        <x:v>0.05</x:v>
      </x:c>
      <x:c r="N855" s="26" t="n">
        <x:f>K855*L855</x:f>
        <x:v>52740</x:v>
      </x:c>
      <x:c r="O855" s="26" t="n">
        <x:f>N855*(1-M855)</x:f>
        <x:v>50103</x:v>
      </x:c>
      <x:c r="P855" s="26" t="n">
        <x:v>10774</x:v>
      </x:c>
      <x:c r="Q855" s="26" t="n">
        <x:f>K855*P855</x:f>
        <x:v>43096</x:v>
      </x:c>
      <x:c r="R855" s="26" t="n">
        <x:f>O855-Q855</x:f>
        <x:v>7007</x:v>
      </x:c>
      <x:c r="S855" s="28" t="n">
        <x:f>IF(O855=0,0,R855/O855)</x:f>
        <x:v>0.13985190507554437</x:v>
      </x:c>
      <x:c r="T855" s="25" t="str">
        <x:v>Debit Card</x:v>
      </x:c>
      <x:c r="U855" s="25" t="str">
        <x:v>Completed</x:v>
      </x:c>
      <x:c r="V855" s="29" t="n">
        <x:v>5</x:v>
      </x:c>
    </x:row>
    <x:row r="856">
      <x:c r="A856" s="23" t="str">
        <x:v>MAN-2025-00855</x:v>
      </x:c>
      <x:c r="B856" s="24" t="n">
        <x:v>45792</x:v>
      </x:c>
      <x:c r="C856" s="25" t="str">
        <x:v>Mansoura</x:v>
      </x:c>
      <x:c r="D856" s="25" t="str">
        <x:v>Mit Ghamr</x:v>
      </x:c>
      <x:c r="E856" s="25" t="str">
        <x:v>Youssef Fathy</x:v>
      </x:c>
      <x:c r="F856" s="25" t="str">
        <x:v>Ali Nasser</x:v>
      </x:c>
      <x:c r="G856" s="25" t="str">
        <x:v>Consumer</x:v>
      </x:c>
      <x:c r="H856" s="25" t="str">
        <x:v>Website</x:v>
      </x:c>
      <x:c r="I856" s="25" t="str">
        <x:v>Home Appliances</x:v>
      </x:c>
      <x:c r="J856" s="25" t="str">
        <x:v>Air Conditioner</x:v>
      </x:c>
      <x:c r="K856" s="25" t="n">
        <x:v>3</x:v>
      </x:c>
      <x:c r="L856" s="26" t="n">
        <x:v>21499</x:v>
      </x:c>
      <x:c r="M856" s="27" t="n">
        <x:v>0.15</x:v>
      </x:c>
      <x:c r="N856" s="26" t="n">
        <x:f>K856*L856</x:f>
        <x:v>64497</x:v>
      </x:c>
      <x:c r="O856" s="26" t="n">
        <x:f>N856*(1-M856)</x:f>
        <x:v>54822.45</x:v>
      </x:c>
      <x:c r="P856" s="26" t="n">
        <x:v>17180</x:v>
      </x:c>
      <x:c r="Q856" s="26" t="n">
        <x:f>K856*P856</x:f>
        <x:v>51540</x:v>
      </x:c>
      <x:c r="R856" s="26" t="n">
        <x:f>O856-Q856</x:f>
        <x:v>3282.449999999997</x:v>
      </x:c>
      <x:c r="S856" s="28" t="n">
        <x:f>IF(O856=0,0,R856/O856)</x:f>
        <x:v>0.05987419387495446</x:v>
      </x:c>
      <x:c r="T856" s="25" t="str">
        <x:v>Bank Transfer</x:v>
      </x:c>
      <x:c r="U856" s="25" t="str">
        <x:v>Cancelled</x:v>
      </x:c>
      <x:c r="V856" s="29" t="n">
        <x:v>3</x:v>
      </x:c>
    </x:row>
    <x:row r="857">
      <x:c r="A857" s="23" t="str">
        <x:v>MAN-2025-00856</x:v>
      </x:c>
      <x:c r="B857" s="24" t="n">
        <x:v>45993</x:v>
      </x:c>
      <x:c r="C857" s="25" t="str">
        <x:v>Mansoura</x:v>
      </x:c>
      <x:c r="D857" s="25" t="str">
        <x:v>Mansoura City</x:v>
      </x:c>
      <x:c r="E857" s="25" t="str">
        <x:v>Aya Farouk</x:v>
      </x:c>
      <x:c r="F857" s="25" t="str">
        <x:v>Farah Adel</x:v>
      </x:c>
      <x:c r="G857" s="25" t="str">
        <x:v>Corporate</x:v>
      </x:c>
      <x:c r="H857" s="25" t="str">
        <x:v>Phone Order</x:v>
      </x:c>
      <x:c r="I857" s="25" t="str">
        <x:v>Home Appliances</x:v>
      </x:c>
      <x:c r="J857" s="25" t="str">
        <x:v>Air Conditioner</x:v>
      </x:c>
      <x:c r="K857" s="25" t="n">
        <x:v>2</x:v>
      </x:c>
      <x:c r="L857" s="26" t="n">
        <x:v>20555</x:v>
      </x:c>
      <x:c r="M857" s="27" t="n">
        <x:v>0.15</x:v>
      </x:c>
      <x:c r="N857" s="26" t="n">
        <x:f>K857*L857</x:f>
        <x:v>41110</x:v>
      </x:c>
      <x:c r="O857" s="26" t="n">
        <x:f>N857*(1-M857)</x:f>
        <x:v>34943.5</x:v>
      </x:c>
      <x:c r="P857" s="26" t="n">
        <x:v>17191</x:v>
      </x:c>
      <x:c r="Q857" s="26" t="n">
        <x:f>K857*P857</x:f>
        <x:v>34382</x:v>
      </x:c>
      <x:c r="R857" s="26" t="n">
        <x:f>O857-Q857</x:f>
        <x:v>561.5</x:v>
      </x:c>
      <x:c r="S857" s="28" t="n">
        <x:f>IF(O857=0,0,R857/O857)</x:f>
        <x:v>0.016068796771931834</x:v>
      </x:c>
      <x:c r="T857" s="25" t="str">
        <x:v>Digital Wallet</x:v>
      </x:c>
      <x:c r="U857" s="25" t="str">
        <x:v>Completed</x:v>
      </x:c>
      <x:c r="V857" s="29" t="n">
        <x:v>4</x:v>
      </x:c>
    </x:row>
    <x:row r="858">
      <x:c r="A858" s="23" t="str">
        <x:v>MAN-2025-00857</x:v>
      </x:c>
      <x:c r="B858" s="24" t="n">
        <x:v>45733</x:v>
      </x:c>
      <x:c r="C858" s="25" t="str">
        <x:v>Mansoura</x:v>
      </x:c>
      <x:c r="D858" s="25" t="str">
        <x:v>Mansoura City</x:v>
      </x:c>
      <x:c r="E858" s="25" t="str">
        <x:v>Salma Mansour</x:v>
      </x:c>
      <x:c r="F858" s="25" t="str">
        <x:v>Ali Hassan</x:v>
      </x:c>
      <x:c r="G858" s="25" t="str">
        <x:v>Small Business</x:v>
      </x:c>
      <x:c r="H858" s="25" t="str">
        <x:v>Retail Store</x:v>
      </x:c>
      <x:c r="I858" s="25" t="str">
        <x:v>Electronics</x:v>
      </x:c>
      <x:c r="J858" s="25" t="str">
        <x:v>Tablet</x:v>
      </x:c>
      <x:c r="K858" s="25" t="n">
        <x:v>5</x:v>
      </x:c>
      <x:c r="L858" s="26" t="n">
        <x:v>8933</x:v>
      </x:c>
      <x:c r="M858" s="27" t="n">
        <x:v>0.05</x:v>
      </x:c>
      <x:c r="N858" s="26" t="n">
        <x:f>K858*L858</x:f>
        <x:v>44665</x:v>
      </x:c>
      <x:c r="O858" s="26" t="n">
        <x:f>N858*(1-M858)</x:f>
        <x:v>42431.75</x:v>
      </x:c>
      <x:c r="P858" s="26" t="n">
        <x:v>7546</x:v>
      </x:c>
      <x:c r="Q858" s="26" t="n">
        <x:f>K858*P858</x:f>
        <x:v>37730</x:v>
      </x:c>
      <x:c r="R858" s="26" t="n">
        <x:f>O858-Q858</x:f>
        <x:v>4701.75</x:v>
      </x:c>
      <x:c r="S858" s="28" t="n">
        <x:f>IF(O858=0,0,R858/O858)</x:f>
        <x:v>0.11080735534122443</x:v>
      </x:c>
      <x:c r="T858" s="25" t="str">
        <x:v>Bank Transfer</x:v>
      </x:c>
      <x:c r="U858" s="25" t="str">
        <x:v>Completed</x:v>
      </x:c>
      <x:c r="V858" s="29" t="n">
        <x:v>5</x:v>
      </x:c>
    </x:row>
    <x:row r="859">
      <x:c r="A859" s="23" t="str">
        <x:v>MAN-2025-00858</x:v>
      </x:c>
      <x:c r="B859" s="24" t="n">
        <x:v>45982</x:v>
      </x:c>
      <x:c r="C859" s="25" t="str">
        <x:v>Mansoura</x:v>
      </x:c>
      <x:c r="D859" s="25" t="str">
        <x:v>Aga</x:v>
      </x:c>
      <x:c r="E859" s="25" t="str">
        <x:v>Ali Sayed</x:v>
      </x:c>
      <x:c r="F859" s="25" t="str">
        <x:v>Omar Khalil</x:v>
      </x:c>
      <x:c r="G859" s="25" t="str">
        <x:v>Consumer</x:v>
      </x:c>
      <x:c r="H859" s="25" t="str">
        <x:v>Phone Order</x:v>
      </x:c>
      <x:c r="I859" s="25" t="str">
        <x:v>Office Supplies</x:v>
      </x:c>
      <x:c r="J859" s="25" t="str">
        <x:v>Calculator</x:v>
      </x:c>
      <x:c r="K859" s="25" t="n">
        <x:v>5</x:v>
      </x:c>
      <x:c r="L859" s="26" t="n">
        <x:v>436</x:v>
      </x:c>
      <x:c r="M859" s="27" t="n">
        <x:v>0</x:v>
      </x:c>
      <x:c r="N859" s="26" t="n">
        <x:f>K859*L859</x:f>
        <x:v>2180</x:v>
      </x:c>
      <x:c r="O859" s="26" t="n">
        <x:f>N859*(1-M859)</x:f>
        <x:v>2180</x:v>
      </x:c>
      <x:c r="P859" s="26" t="n">
        <x:v>288</x:v>
      </x:c>
      <x:c r="Q859" s="26" t="n">
        <x:f>K859*P859</x:f>
        <x:v>1440</x:v>
      </x:c>
      <x:c r="R859" s="26" t="n">
        <x:f>O859-Q859</x:f>
        <x:v>740</x:v>
      </x:c>
      <x:c r="S859" s="28" t="n">
        <x:f>IF(O859=0,0,R859/O859)</x:f>
        <x:v>0.3394495412844037</x:v>
      </x:c>
      <x:c r="T859" s="25" t="str">
        <x:v>Digital Wallet</x:v>
      </x:c>
      <x:c r="U859" s="25" t="str">
        <x:v>Completed</x:v>
      </x:c>
      <x:c r="V859" s="29" t="n">
        <x:v>5</x:v>
      </x:c>
    </x:row>
    <x:row r="860">
      <x:c r="A860" s="23" t="str">
        <x:v>MAN-2025-00859</x:v>
      </x:c>
      <x:c r="B860" s="24" t="n">
        <x:v>45902</x:v>
      </x:c>
      <x:c r="C860" s="25" t="str">
        <x:v>Mansoura</x:v>
      </x:c>
      <x:c r="D860" s="25" t="str">
        <x:v>Sherbin</x:v>
      </x:c>
      <x:c r="E860" s="25" t="str">
        <x:v>Salma Mansour</x:v>
      </x:c>
      <x:c r="F860" s="25" t="str">
        <x:v>Amr Mansour</x:v>
      </x:c>
      <x:c r="G860" s="25" t="str">
        <x:v>Consumer</x:v>
      </x:c>
      <x:c r="H860" s="25" t="str">
        <x:v>Website</x:v>
      </x:c>
      <x:c r="I860" s="25" t="str">
        <x:v>Electronics</x:v>
      </x:c>
      <x:c r="J860" s="25" t="str">
        <x:v>Tablet</x:v>
      </x:c>
      <x:c r="K860" s="25" t="n">
        <x:v>6</x:v>
      </x:c>
      <x:c r="L860" s="26" t="n">
        <x:v>8539</x:v>
      </x:c>
      <x:c r="M860" s="27" t="n">
        <x:v>0</x:v>
      </x:c>
      <x:c r="N860" s="26" t="n">
        <x:f>K860*L860</x:f>
        <x:v>51234</x:v>
      </x:c>
      <x:c r="O860" s="26" t="n">
        <x:f>N860*(1-M860)</x:f>
        <x:v>51234</x:v>
      </x:c>
      <x:c r="P860" s="26" t="n">
        <x:v>7191</x:v>
      </x:c>
      <x:c r="Q860" s="26" t="n">
        <x:f>K860*P860</x:f>
        <x:v>43146</x:v>
      </x:c>
      <x:c r="R860" s="26" t="n">
        <x:f>O860-Q860</x:f>
        <x:v>8088</x:v>
      </x:c>
      <x:c r="S860" s="28" t="n">
        <x:f>IF(O860=0,0,R860/O860)</x:f>
        <x:v>0.15786391849162665</x:v>
      </x:c>
      <x:c r="T860" s="25" t="str">
        <x:v>Debit Card</x:v>
      </x:c>
      <x:c r="U860" s="25" t="str">
        <x:v>Cancelled</x:v>
      </x:c>
      <x:c r="V860" s="29" t="n">
        <x:v>4</x:v>
      </x:c>
    </x:row>
    <x:row r="861">
      <x:c r="A861" s="23" t="str">
        <x:v>MAN-2025-00860</x:v>
      </x:c>
      <x:c r="B861" s="24" t="n">
        <x:v>45814</x:v>
      </x:c>
      <x:c r="C861" s="25" t="str">
        <x:v>Mansoura</x:v>
      </x:c>
      <x:c r="D861" s="25" t="str">
        <x:v>Aga</x:v>
      </x:c>
      <x:c r="E861" s="25" t="str">
        <x:v>Aya Farouk</x:v>
      </x:c>
      <x:c r="F861" s="25" t="str">
        <x:v>Nour Sayed</x:v>
      </x:c>
      <x:c r="G861" s="25" t="str">
        <x:v>Corporate</x:v>
      </x:c>
      <x:c r="H861" s="25" t="str">
        <x:v>Retail Store</x:v>
      </x:c>
      <x:c r="I861" s="25" t="str">
        <x:v>Home Appliances</x:v>
      </x:c>
      <x:c r="J861" s="25" t="str">
        <x:v>Washing Machine</x:v>
      </x:c>
      <x:c r="K861" s="25" t="n">
        <x:v>3</x:v>
      </x:c>
      <x:c r="L861" s="26" t="n">
        <x:v>15266</x:v>
      </x:c>
      <x:c r="M861" s="27" t="n">
        <x:v>0</x:v>
      </x:c>
      <x:c r="N861" s="26" t="n">
        <x:f>K861*L861</x:f>
        <x:v>45798</x:v>
      </x:c>
      <x:c r="O861" s="26" t="n">
        <x:f>N861*(1-M861)</x:f>
        <x:v>45798</x:v>
      </x:c>
      <x:c r="P861" s="26" t="n">
        <x:v>13980</x:v>
      </x:c>
      <x:c r="Q861" s="26" t="n">
        <x:f>K861*P861</x:f>
        <x:v>41940</x:v>
      </x:c>
      <x:c r="R861" s="26" t="n">
        <x:f>O861-Q861</x:f>
        <x:v>3858</x:v>
      </x:c>
      <x:c r="S861" s="28" t="n">
        <x:f>IF(O861=0,0,R861/O861)</x:f>
        <x:v>0.08423948644045591</x:v>
      </x:c>
      <x:c r="T861" s="25" t="str">
        <x:v>Cash</x:v>
      </x:c>
      <x:c r="U861" s="25" t="str">
        <x:v>Cancelled</x:v>
      </x:c>
      <x:c r="V861" s="29" t="n">
        <x:v>4</x:v>
      </x:c>
    </x:row>
    <x:row r="862">
      <x:c r="A862" s="23" t="str">
        <x:v>MAN-2025-00861</x:v>
      </x:c>
      <x:c r="B862" s="24" t="n">
        <x:v>45714</x:v>
      </x:c>
      <x:c r="C862" s="25" t="str">
        <x:v>Mansoura</x:v>
      </x:c>
      <x:c r="D862" s="25" t="str">
        <x:v>Mansoura City</x:v>
      </x:c>
      <x:c r="E862" s="25" t="str">
        <x:v>Salma Mansour</x:v>
      </x:c>
      <x:c r="F862" s="25" t="str">
        <x:v>Amr Ibrahim</x:v>
      </x:c>
      <x:c r="G862" s="25" t="str">
        <x:v>Consumer</x:v>
      </x:c>
      <x:c r="H862" s="25" t="str">
        <x:v>Retail Store</x:v>
      </x:c>
      <x:c r="I862" s="25" t="str">
        <x:v>Furniture</x:v>
      </x:c>
      <x:c r="J862" s="25" t="str">
        <x:v>Bookshelf</x:v>
      </x:c>
      <x:c r="K862" s="25" t="n">
        <x:v>2</x:v>
      </x:c>
      <x:c r="L862" s="26" t="n">
        <x:v>2973</x:v>
      </x:c>
      <x:c r="M862" s="27" t="n">
        <x:v>0.05</x:v>
      </x:c>
      <x:c r="N862" s="26" t="n">
        <x:f>K862*L862</x:f>
        <x:v>5946</x:v>
      </x:c>
      <x:c r="O862" s="26" t="n">
        <x:f>N862*(1-M862)</x:f>
        <x:v>5648.7</x:v>
      </x:c>
      <x:c r="P862" s="26" t="n">
        <x:v>2204</x:v>
      </x:c>
      <x:c r="Q862" s="26" t="n">
        <x:f>K862*P862</x:f>
        <x:v>4408</x:v>
      </x:c>
      <x:c r="R862" s="26" t="n">
        <x:f>O862-Q862</x:f>
        <x:v>1240.6999999999998</x:v>
      </x:c>
      <x:c r="S862" s="28" t="n">
        <x:f>IF(O862=0,0,R862/O862)</x:f>
        <x:v>0.21964345778674738</x:v>
      </x:c>
      <x:c r="T862" s="25" t="str">
        <x:v>Cash</x:v>
      </x:c>
      <x:c r="U862" s="25" t="str">
        <x:v>Completed</x:v>
      </x:c>
      <x:c r="V862" s="29" t="n">
        <x:v>4</x:v>
      </x:c>
    </x:row>
    <x:row r="863">
      <x:c r="A863" s="23" t="str">
        <x:v>MAN-2025-00862</x:v>
      </x:c>
      <x:c r="B863" s="24" t="n">
        <x:v>45715</x:v>
      </x:c>
      <x:c r="C863" s="25" t="str">
        <x:v>Mansoura</x:v>
      </x:c>
      <x:c r="D863" s="25" t="str">
        <x:v>Talkha</x:v>
      </x:c>
      <x:c r="E863" s="25" t="str">
        <x:v>Salma Mansour</x:v>
      </x:c>
      <x:c r="F863" s="25" t="str">
        <x:v>Mostafa Adel</x:v>
      </x:c>
      <x:c r="G863" s="25" t="str">
        <x:v>Corporate</x:v>
      </x:c>
      <x:c r="H863" s="25" t="str">
        <x:v>Website</x:v>
      </x:c>
      <x:c r="I863" s="25" t="str">
        <x:v>Office Supplies</x:v>
      </x:c>
      <x:c r="J863" s="25" t="str">
        <x:v>Paper Box</x:v>
      </x:c>
      <x:c r="K863" s="25" t="n">
        <x:v>6</x:v>
      </x:c>
      <x:c r="L863" s="26" t="n">
        <x:v>389</x:v>
      </x:c>
      <x:c r="M863" s="27" t="n">
        <x:v>0</x:v>
      </x:c>
      <x:c r="N863" s="26" t="n">
        <x:f>K863*L863</x:f>
        <x:v>2334</x:v>
      </x:c>
      <x:c r="O863" s="26" t="n">
        <x:f>N863*(1-M863)</x:f>
        <x:v>2334</x:v>
      </x:c>
      <x:c r="P863" s="26" t="n">
        <x:v>259</x:v>
      </x:c>
      <x:c r="Q863" s="26" t="n">
        <x:f>K863*P863</x:f>
        <x:v>1554</x:v>
      </x:c>
      <x:c r="R863" s="26" t="n">
        <x:f>O863-Q863</x:f>
        <x:v>780</x:v>
      </x:c>
      <x:c r="S863" s="28" t="n">
        <x:f>IF(O863=0,0,R863/O863)</x:f>
        <x:v>0.3341902313624679</x:v>
      </x:c>
      <x:c r="T863" s="25" t="str">
        <x:v>Bank Transfer</x:v>
      </x:c>
      <x:c r="U863" s="25" t="str">
        <x:v>Completed</x:v>
      </x:c>
      <x:c r="V863" s="29" t="n">
        <x:v>3</x:v>
      </x:c>
    </x:row>
    <x:row r="864">
      <x:c r="A864" s="23" t="str">
        <x:v>MAN-2025-00863</x:v>
      </x:c>
      <x:c r="B864" s="24" t="n">
        <x:v>45863</x:v>
      </x:c>
      <x:c r="C864" s="25" t="str">
        <x:v>Mansoura</x:v>
      </x:c>
      <x:c r="D864" s="25" t="str">
        <x:v>Sherbin</x:v>
      </x:c>
      <x:c r="E864" s="25" t="str">
        <x:v>Aya Farouk</x:v>
      </x:c>
      <x:c r="F864" s="25" t="str">
        <x:v>Sara Tarek</x:v>
      </x:c>
      <x:c r="G864" s="25" t="str">
        <x:v>Corporate</x:v>
      </x:c>
      <x:c r="H864" s="25" t="str">
        <x:v>Retail Store</x:v>
      </x:c>
      <x:c r="I864" s="25" t="str">
        <x:v>Electronics</x:v>
      </x:c>
      <x:c r="J864" s="25" t="str">
        <x:v>Laptop</x:v>
      </x:c>
      <x:c r="K864" s="25" t="n">
        <x:v>3</x:v>
      </x:c>
      <x:c r="L864" s="26" t="n">
        <x:v>24506</x:v>
      </x:c>
      <x:c r="M864" s="27" t="n">
        <x:v>0.05</x:v>
      </x:c>
      <x:c r="N864" s="26" t="n">
        <x:f>K864*L864</x:f>
        <x:v>73518</x:v>
      </x:c>
      <x:c r="O864" s="26" t="n">
        <x:f>N864*(1-M864)</x:f>
        <x:v>69842.09999999999</x:v>
      </x:c>
      <x:c r="P864" s="26" t="n">
        <x:v>21828</x:v>
      </x:c>
      <x:c r="Q864" s="26" t="n">
        <x:f>K864*P864</x:f>
        <x:v>65484</x:v>
      </x:c>
      <x:c r="R864" s="26" t="n">
        <x:f>O864-Q864</x:f>
        <x:v>4358.099999999991</x:v>
      </x:c>
      <x:c r="S864" s="28" t="n">
        <x:f>IF(O864=0,0,R864/O864)</x:f>
        <x:v>0.06239932648073285</x:v>
      </x:c>
      <x:c r="T864" s="25" t="str">
        <x:v>Credit Card</x:v>
      </x:c>
      <x:c r="U864" s="25" t="str">
        <x:v>Returned</x:v>
      </x:c>
      <x:c r="V864" s="29" t="n">
        <x:v>5</x:v>
      </x:c>
    </x:row>
    <x:row r="865">
      <x:c r="A865" s="23" t="str">
        <x:v>MAN-2025-00864</x:v>
      </x:c>
      <x:c r="B865" s="24" t="n">
        <x:v>45904</x:v>
      </x:c>
      <x:c r="C865" s="25" t="str">
        <x:v>Mansoura</x:v>
      </x:c>
      <x:c r="D865" s="25" t="str">
        <x:v>Sherbin</x:v>
      </x:c>
      <x:c r="E865" s="25" t="str">
        <x:v>Aya Farouk</x:v>
      </x:c>
      <x:c r="F865" s="25" t="str">
        <x:v>Omar Farouk</x:v>
      </x:c>
      <x:c r="G865" s="25" t="str">
        <x:v>Consumer</x:v>
      </x:c>
      <x:c r="H865" s="25" t="str">
        <x:v>Mobile App</x:v>
      </x:c>
      <x:c r="I865" s="25" t="str">
        <x:v>Home Appliances</x:v>
      </x:c>
      <x:c r="J865" s="25" t="str">
        <x:v>Blender</x:v>
      </x:c>
      <x:c r="K865" s="25" t="n">
        <x:v>3</x:v>
      </x:c>
      <x:c r="L865" s="26" t="n">
        <x:v>1749</x:v>
      </x:c>
      <x:c r="M865" s="27" t="n">
        <x:v>0.1</x:v>
      </x:c>
      <x:c r="N865" s="26" t="n">
        <x:f>K865*L865</x:f>
        <x:v>5247</x:v>
      </x:c>
      <x:c r="O865" s="26" t="n">
        <x:f>N865*(1-M865)</x:f>
        <x:v>4722.3</x:v>
      </x:c>
      <x:c r="P865" s="26" t="n">
        <x:v>1274</x:v>
      </x:c>
      <x:c r="Q865" s="26" t="n">
        <x:f>K865*P865</x:f>
        <x:v>3822</x:v>
      </x:c>
      <x:c r="R865" s="26" t="n">
        <x:f>O865-Q865</x:f>
        <x:v>900.3000000000002</x:v>
      </x:c>
      <x:c r="S865" s="28" t="n">
        <x:f>IF(O865=0,0,R865/O865)</x:f>
        <x:v>0.1906486246108888</x:v>
      </x:c>
      <x:c r="T865" s="25" t="str">
        <x:v>Debit Card</x:v>
      </x:c>
      <x:c r="U865" s="25" t="str">
        <x:v>Cancelled</x:v>
      </x:c>
      <x:c r="V865" s="29" t="n">
        <x:v>4</x:v>
      </x:c>
    </x:row>
    <x:row r="866">
      <x:c r="A866" s="23" t="str">
        <x:v>MAN-2025-00865</x:v>
      </x:c>
      <x:c r="B866" s="24" t="n">
        <x:v>45937</x:v>
      </x:c>
      <x:c r="C866" s="25" t="str">
        <x:v>Mansoura</x:v>
      </x:c>
      <x:c r="D866" s="25" t="str">
        <x:v>Mit Ghamr</x:v>
      </x:c>
      <x:c r="E866" s="25" t="str">
        <x:v>Youssef Fathy</x:v>
      </x:c>
      <x:c r="F866" s="25" t="str">
        <x:v>Mahmoud Fathy</x:v>
      </x:c>
      <x:c r="G866" s="25" t="str">
        <x:v>Corporate</x:v>
      </x:c>
      <x:c r="H866" s="25" t="str">
        <x:v>Website</x:v>
      </x:c>
      <x:c r="I866" s="25" t="str">
        <x:v>Furniture</x:v>
      </x:c>
      <x:c r="J866" s="25" t="str">
        <x:v>Bookshelf</x:v>
      </x:c>
      <x:c r="K866" s="25" t="n">
        <x:v>4</x:v>
      </x:c>
      <x:c r="L866" s="26" t="n">
        <x:v>3169</x:v>
      </x:c>
      <x:c r="M866" s="27" t="n">
        <x:v>0.05</x:v>
      </x:c>
      <x:c r="N866" s="26" t="n">
        <x:f>K866*L866</x:f>
        <x:v>12676</x:v>
      </x:c>
      <x:c r="O866" s="26" t="n">
        <x:f>N866*(1-M866)</x:f>
        <x:v>12042.199999999999</x:v>
      </x:c>
      <x:c r="P866" s="26" t="n">
        <x:v>2176</x:v>
      </x:c>
      <x:c r="Q866" s="26" t="n">
        <x:f>K866*P866</x:f>
        <x:v>8704</x:v>
      </x:c>
      <x:c r="R866" s="26" t="n">
        <x:f>O866-Q866</x:f>
        <x:v>3338.199999999999</x:v>
      </x:c>
      <x:c r="S866" s="28" t="n">
        <x:f>IF(O866=0,0,R866/O866)</x:f>
        <x:v>0.2772084834996927</x:v>
      </x:c>
      <x:c r="T866" s="25" t="str">
        <x:v>Credit Card</x:v>
      </x:c>
      <x:c r="U866" s="25" t="str">
        <x:v>Completed</x:v>
      </x:c>
      <x:c r="V866" s="29" t="n">
        <x:v>5</x:v>
      </x:c>
    </x:row>
    <x:row r="867">
      <x:c r="A867" s="23" t="str">
        <x:v>MAN-2025-00866</x:v>
      </x:c>
      <x:c r="B867" s="24" t="n">
        <x:v>45985</x:v>
      </x:c>
      <x:c r="C867" s="25" t="str">
        <x:v>Mansoura</x:v>
      </x:c>
      <x:c r="D867" s="25" t="str">
        <x:v>Sherbin</x:v>
      </x:c>
      <x:c r="E867" s="25" t="str">
        <x:v>Ali Sayed</x:v>
      </x:c>
      <x:c r="F867" s="25" t="str">
        <x:v>Omar Tarek</x:v>
      </x:c>
      <x:c r="G867" s="25" t="str">
        <x:v>Small Business</x:v>
      </x:c>
      <x:c r="H867" s="25" t="str">
        <x:v>Retail Store</x:v>
      </x:c>
      <x:c r="I867" s="25" t="str">
        <x:v>Office Supplies</x:v>
      </x:c>
      <x:c r="J867" s="25" t="str">
        <x:v>Ink Cartridge</x:v>
      </x:c>
      <x:c r="K867" s="25" t="n">
        <x:v>4</x:v>
      </x:c>
      <x:c r="L867" s="26" t="n">
        <x:v>886</x:v>
      </x:c>
      <x:c r="M867" s="27" t="n">
        <x:v>0</x:v>
      </x:c>
      <x:c r="N867" s="26" t="n">
        <x:f>K867*L867</x:f>
        <x:v>3544</x:v>
      </x:c>
      <x:c r="O867" s="26" t="n">
        <x:f>N867*(1-M867)</x:f>
        <x:v>3544</x:v>
      </x:c>
      <x:c r="P867" s="26" t="n">
        <x:v>561</x:v>
      </x:c>
      <x:c r="Q867" s="26" t="n">
        <x:f>K867*P867</x:f>
        <x:v>2244</x:v>
      </x:c>
      <x:c r="R867" s="26" t="n">
        <x:f>O867-Q867</x:f>
        <x:v>1300</x:v>
      </x:c>
      <x:c r="S867" s="28" t="n">
        <x:f>IF(O867=0,0,R867/O867)</x:f>
        <x:v>0.36681715575620766</x:v>
      </x:c>
      <x:c r="T867" s="25" t="str">
        <x:v>Debit Card</x:v>
      </x:c>
      <x:c r="U867" s="25" t="str">
        <x:v>Returned</x:v>
      </x:c>
      <x:c r="V867" s="29" t="n">
        <x:v>4</x:v>
      </x:c>
    </x:row>
    <x:row r="868">
      <x:c r="A868" s="23" t="str">
        <x:v>MAN-2025-00867</x:v>
      </x:c>
      <x:c r="B868" s="24" t="n">
        <x:v>45967</x:v>
      </x:c>
      <x:c r="C868" s="25" t="str">
        <x:v>Mansoura</x:v>
      </x:c>
      <x:c r="D868" s="25" t="str">
        <x:v>Sherbin</x:v>
      </x:c>
      <x:c r="E868" s="25" t="str">
        <x:v>Salma Mansour</x:v>
      </x:c>
      <x:c r="F868" s="25" t="str">
        <x:v>Sara Farouk</x:v>
      </x:c>
      <x:c r="G868" s="25" t="str">
        <x:v>Consumer</x:v>
      </x:c>
      <x:c r="H868" s="25" t="str">
        <x:v>Retail Store</x:v>
      </x:c>
      <x:c r="I868" s="25" t="str">
        <x:v>Home Appliances</x:v>
      </x:c>
      <x:c r="J868" s="25" t="str">
        <x:v>Washing Machine</x:v>
      </x:c>
      <x:c r="K868" s="25" t="n">
        <x:v>3</x:v>
      </x:c>
      <x:c r="L868" s="26" t="n">
        <x:v>17153</x:v>
      </x:c>
      <x:c r="M868" s="27" t="n">
        <x:v>0</x:v>
      </x:c>
      <x:c r="N868" s="26" t="n">
        <x:f>K868*L868</x:f>
        <x:v>51459</x:v>
      </x:c>
      <x:c r="O868" s="26" t="n">
        <x:f>N868*(1-M868)</x:f>
        <x:v>51459</x:v>
      </x:c>
      <x:c r="P868" s="26" t="n">
        <x:v>13696</x:v>
      </x:c>
      <x:c r="Q868" s="26" t="n">
        <x:f>K868*P868</x:f>
        <x:v>41088</x:v>
      </x:c>
      <x:c r="R868" s="26" t="n">
        <x:f>O868-Q868</x:f>
        <x:v>10371</x:v>
      </x:c>
      <x:c r="S868" s="28" t="n">
        <x:f>IF(O868=0,0,R868/O868)</x:f>
        <x:v>0.2015390893721215</x:v>
      </x:c>
      <x:c r="T868" s="25" t="str">
        <x:v>Credit Card</x:v>
      </x:c>
      <x:c r="U868" s="25" t="str">
        <x:v>Returned</x:v>
      </x:c>
      <x:c r="V868" s="29" t="n">
        <x:v>4</x:v>
      </x:c>
    </x:row>
    <x:row r="869">
      <x:c r="A869" s="23" t="str">
        <x:v>MAN-2025-00868</x:v>
      </x:c>
      <x:c r="B869" s="24" t="n">
        <x:v>45834</x:v>
      </x:c>
      <x:c r="C869" s="25" t="str">
        <x:v>Mansoura</x:v>
      </x:c>
      <x:c r="D869" s="25" t="str">
        <x:v>Mit Ghamr</x:v>
      </x:c>
      <x:c r="E869" s="25" t="str">
        <x:v>Youssef Fathy</x:v>
      </x:c>
      <x:c r="F869" s="25" t="str">
        <x:v>Ahmed Sayed</x:v>
      </x:c>
      <x:c r="G869" s="25" t="str">
        <x:v>Corporate</x:v>
      </x:c>
      <x:c r="H869" s="25" t="str">
        <x:v>Website</x:v>
      </x:c>
      <x:c r="I869" s="25" t="str">
        <x:v>Home Appliances</x:v>
      </x:c>
      <x:c r="J869" s="25" t="str">
        <x:v>Washing Machine</x:v>
      </x:c>
      <x:c r="K869" s="25" t="n">
        <x:v>1</x:v>
      </x:c>
      <x:c r="L869" s="26" t="n">
        <x:v>15774</x:v>
      </x:c>
      <x:c r="M869" s="27" t="n">
        <x:v>0.05</x:v>
      </x:c>
      <x:c r="N869" s="26" t="n">
        <x:f>K869*L869</x:f>
        <x:v>15774</x:v>
      </x:c>
      <x:c r="O869" s="26" t="n">
        <x:f>N869*(1-M869)</x:f>
        <x:v>14985.3</x:v>
      </x:c>
      <x:c r="P869" s="26" t="n">
        <x:v>14222</x:v>
      </x:c>
      <x:c r="Q869" s="26" t="n">
        <x:f>K869*P869</x:f>
        <x:v>14222</x:v>
      </x:c>
      <x:c r="R869" s="26" t="n">
        <x:f>O869-Q869</x:f>
        <x:v>763.2999999999993</x:v>
      </x:c>
      <x:c r="S869" s="28" t="n">
        <x:f>IF(O869=0,0,R869/O869)</x:f>
        <x:v>0.050936584519495724</x:v>
      </x:c>
      <x:c r="T869" s="25" t="str">
        <x:v>Digital Wallet</x:v>
      </x:c>
      <x:c r="U869" s="25" t="str">
        <x:v>Completed</x:v>
      </x:c>
      <x:c r="V869" s="29" t="n">
        <x:v>5</x:v>
      </x:c>
    </x:row>
    <x:row r="870">
      <x:c r="A870" s="23" t="str">
        <x:v>MAN-2025-00869</x:v>
      </x:c>
      <x:c r="B870" s="24" t="n">
        <x:v>45965</x:v>
      </x:c>
      <x:c r="C870" s="25" t="str">
        <x:v>Mansoura</x:v>
      </x:c>
      <x:c r="D870" s="25" t="str">
        <x:v>Talkha</x:v>
      </x:c>
      <x:c r="E870" s="25" t="str">
        <x:v>Youssef Fathy</x:v>
      </x:c>
      <x:c r="F870" s="25" t="str">
        <x:v>Omar Ibrahim</x:v>
      </x:c>
      <x:c r="G870" s="25" t="str">
        <x:v>Small Business</x:v>
      </x:c>
      <x:c r="H870" s="25" t="str">
        <x:v>Website</x:v>
      </x:c>
      <x:c r="I870" s="25" t="str">
        <x:v>Furniture</x:v>
      </x:c>
      <x:c r="J870" s="25" t="str">
        <x:v>Sofa</x:v>
      </x:c>
      <x:c r="K870" s="25" t="n">
        <x:v>6</x:v>
      </x:c>
      <x:c r="L870" s="26" t="n">
        <x:v>13680</x:v>
      </x:c>
      <x:c r="M870" s="27" t="n">
        <x:v>0.1</x:v>
      </x:c>
      <x:c r="N870" s="26" t="n">
        <x:f>K870*L870</x:f>
        <x:v>82080</x:v>
      </x:c>
      <x:c r="O870" s="26" t="n">
        <x:f>N870*(1-M870)</x:f>
        <x:v>73872</x:v>
      </x:c>
      <x:c r="P870" s="26" t="n">
        <x:v>11146</x:v>
      </x:c>
      <x:c r="Q870" s="26" t="n">
        <x:f>K870*P870</x:f>
        <x:v>66876</x:v>
      </x:c>
      <x:c r="R870" s="26" t="n">
        <x:f>O870-Q870</x:f>
        <x:v>6996</x:v>
      </x:c>
      <x:c r="S870" s="28" t="n">
        <x:f>IF(O870=0,0,R870/O870)</x:f>
        <x:v>0.0947043534762833</x:v>
      </x:c>
      <x:c r="T870" s="25" t="str">
        <x:v>Bank Transfer</x:v>
      </x:c>
      <x:c r="U870" s="25" t="str">
        <x:v>Completed</x:v>
      </x:c>
      <x:c r="V870" s="29" t="n">
        <x:v>5</x:v>
      </x:c>
    </x:row>
    <x:row r="871">
      <x:c r="A871" s="23" t="str">
        <x:v>MAN-2025-00870</x:v>
      </x:c>
      <x:c r="B871" s="24" t="n">
        <x:v>46018</x:v>
      </x:c>
      <x:c r="C871" s="25" t="str">
        <x:v>Mansoura</x:v>
      </x:c>
      <x:c r="D871" s="25" t="str">
        <x:v>Talkha</x:v>
      </x:c>
      <x:c r="E871" s="25" t="str">
        <x:v>Youssef Fathy</x:v>
      </x:c>
      <x:c r="F871" s="25" t="str">
        <x:v>Omar Mansour</x:v>
      </x:c>
      <x:c r="G871" s="25" t="str">
        <x:v>Consumer</x:v>
      </x:c>
      <x:c r="H871" s="25" t="str">
        <x:v>Mobile App</x:v>
      </x:c>
      <x:c r="I871" s="25" t="str">
        <x:v>Office Supplies</x:v>
      </x:c>
      <x:c r="J871" s="25" t="str">
        <x:v>Printer</x:v>
      </x:c>
      <x:c r="K871" s="25" t="n">
        <x:v>1</x:v>
      </x:c>
      <x:c r="L871" s="26" t="n">
        <x:v>6877</x:v>
      </x:c>
      <x:c r="M871" s="27" t="n">
        <x:v>0.05</x:v>
      </x:c>
      <x:c r="N871" s="26" t="n">
        <x:f>K871*L871</x:f>
        <x:v>6877</x:v>
      </x:c>
      <x:c r="O871" s="26" t="n">
        <x:f>N871*(1-M871)</x:f>
        <x:v>6533.15</x:v>
      </x:c>
      <x:c r="P871" s="26" t="n">
        <x:v>5273</x:v>
      </x:c>
      <x:c r="Q871" s="26" t="n">
        <x:f>K871*P871</x:f>
        <x:v>5273</x:v>
      </x:c>
      <x:c r="R871" s="26" t="n">
        <x:f>O871-Q871</x:f>
        <x:v>1260.1499999999996</x:v>
      </x:c>
      <x:c r="S871" s="28" t="n">
        <x:f>IF(O871=0,0,R871/O871)</x:f>
        <x:v>0.19288551464454357</x:v>
      </x:c>
      <x:c r="T871" s="25" t="str">
        <x:v>Digital Wallet</x:v>
      </x:c>
      <x:c r="U871" s="25" t="str">
        <x:v>Cancelled</x:v>
      </x:c>
      <x:c r="V871" s="29" t="n">
        <x:v>4</x:v>
      </x:c>
    </x:row>
    <x:row r="872">
      <x:c r="A872" s="23" t="str">
        <x:v>MAN-2025-00871</x:v>
      </x:c>
      <x:c r="B872" s="24" t="n">
        <x:v>45816</x:v>
      </x:c>
      <x:c r="C872" s="25" t="str">
        <x:v>Mansoura</x:v>
      </x:c>
      <x:c r="D872" s="25" t="str">
        <x:v>Mit Ghamr</x:v>
      </x:c>
      <x:c r="E872" s="25" t="str">
        <x:v>Ali Sayed</x:v>
      </x:c>
      <x:c r="F872" s="25" t="str">
        <x:v>Sara Ibrahim</x:v>
      </x:c>
      <x:c r="G872" s="25" t="str">
        <x:v>Small Business</x:v>
      </x:c>
      <x:c r="H872" s="25" t="str">
        <x:v>Website</x:v>
      </x:c>
      <x:c r="I872" s="25" t="str">
        <x:v>Electronics</x:v>
      </x:c>
      <x:c r="J872" s="25" t="str">
        <x:v>Laptop</x:v>
      </x:c>
      <x:c r="K872" s="25" t="n">
        <x:v>3</x:v>
      </x:c>
      <x:c r="L872" s="26" t="n">
        <x:v>25329</x:v>
      </x:c>
      <x:c r="M872" s="27" t="n">
        <x:v>0.1</x:v>
      </x:c>
      <x:c r="N872" s="26" t="n">
        <x:f>K872*L872</x:f>
        <x:v>75987</x:v>
      </x:c>
      <x:c r="O872" s="26" t="n">
        <x:f>N872*(1-M872)</x:f>
        <x:v>68388.3</x:v>
      </x:c>
      <x:c r="P872" s="26" t="n">
        <x:v>20660</x:v>
      </x:c>
      <x:c r="Q872" s="26" t="n">
        <x:f>K872*P872</x:f>
        <x:v>61980</x:v>
      </x:c>
      <x:c r="R872" s="26" t="n">
        <x:f>O872-Q872</x:f>
        <x:v>6408.300000000003</x:v>
      </x:c>
      <x:c r="S872" s="28" t="n">
        <x:f>IF(O872=0,0,R872/O872)</x:f>
        <x:v>0.09370462491391075</x:v>
      </x:c>
      <x:c r="T872" s="25" t="str">
        <x:v>Debit Card</x:v>
      </x:c>
      <x:c r="U872" s="25" t="str">
        <x:v>Completed</x:v>
      </x:c>
      <x:c r="V872" s="29" t="n">
        <x:v>5</x:v>
      </x:c>
    </x:row>
    <x:row r="873">
      <x:c r="A873" s="23" t="str">
        <x:v>MAN-2025-00872</x:v>
      </x:c>
      <x:c r="B873" s="24" t="n">
        <x:v>45935</x:v>
      </x:c>
      <x:c r="C873" s="25" t="str">
        <x:v>Mansoura</x:v>
      </x:c>
      <x:c r="D873" s="25" t="str">
        <x:v>Mansoura City</x:v>
      </x:c>
      <x:c r="E873" s="25" t="str">
        <x:v>Ali Sayed</x:v>
      </x:c>
      <x:c r="F873" s="25" t="str">
        <x:v>Farah Khalil</x:v>
      </x:c>
      <x:c r="G873" s="25" t="str">
        <x:v>Corporate</x:v>
      </x:c>
      <x:c r="H873" s="25" t="str">
        <x:v>Phone Order</x:v>
      </x:c>
      <x:c r="I873" s="25" t="str">
        <x:v>Electronics</x:v>
      </x:c>
      <x:c r="J873" s="25" t="str">
        <x:v>Tablet</x:v>
      </x:c>
      <x:c r="K873" s="25" t="n">
        <x:v>3</x:v>
      </x:c>
      <x:c r="L873" s="26" t="n">
        <x:v>9194</x:v>
      </x:c>
      <x:c r="M873" s="27" t="n">
        <x:v>0.05</x:v>
      </x:c>
      <x:c r="N873" s="26" t="n">
        <x:f>K873*L873</x:f>
        <x:v>27582</x:v>
      </x:c>
      <x:c r="O873" s="26" t="n">
        <x:f>N873*(1-M873)</x:f>
        <x:v>26202.899999999998</x:v>
      </x:c>
      <x:c r="P873" s="26" t="n">
        <x:v>7147</x:v>
      </x:c>
      <x:c r="Q873" s="26" t="n">
        <x:f>K873*P873</x:f>
        <x:v>21441</x:v>
      </x:c>
      <x:c r="R873" s="26" t="n">
        <x:f>O873-Q873</x:f>
        <x:v>4761.899999999998</x:v>
      </x:c>
      <x:c r="S873" s="28" t="n">
        <x:f>IF(O873=0,0,R873/O873)</x:f>
        <x:v>0.18173179304580783</x:v>
      </x:c>
      <x:c r="T873" s="25" t="str">
        <x:v>Cash</x:v>
      </x:c>
      <x:c r="U873" s="25" t="str">
        <x:v>Completed</x:v>
      </x:c>
      <x:c r="V873" s="29" t="n">
        <x:v>4</x:v>
      </x:c>
    </x:row>
    <x:row r="874">
      <x:c r="A874" s="23" t="str">
        <x:v>MAN-2025-00873</x:v>
      </x:c>
      <x:c r="B874" s="24" t="n">
        <x:v>45881</x:v>
      </x:c>
      <x:c r="C874" s="25" t="str">
        <x:v>Mansoura</x:v>
      </x:c>
      <x:c r="D874" s="25" t="str">
        <x:v>Sherbin</x:v>
      </x:c>
      <x:c r="E874" s="25" t="str">
        <x:v>Aya Farouk</x:v>
      </x:c>
      <x:c r="F874" s="25" t="str">
        <x:v>Hana Khalil</x:v>
      </x:c>
      <x:c r="G874" s="25" t="str">
        <x:v>Small Business</x:v>
      </x:c>
      <x:c r="H874" s="25" t="str">
        <x:v>Retail Store</x:v>
      </x:c>
      <x:c r="I874" s="25" t="str">
        <x:v>Electronics</x:v>
      </x:c>
      <x:c r="J874" s="25" t="str">
        <x:v>Headphones</x:v>
      </x:c>
      <x:c r="K874" s="25" t="n">
        <x:v>2</x:v>
      </x:c>
      <x:c r="L874" s="26" t="n">
        <x:v>1640</x:v>
      </x:c>
      <x:c r="M874" s="27" t="n">
        <x:v>0.05</x:v>
      </x:c>
      <x:c r="N874" s="26" t="n">
        <x:f>K874*L874</x:f>
        <x:v>3280</x:v>
      </x:c>
      <x:c r="O874" s="26" t="n">
        <x:f>N874*(1-M874)</x:f>
        <x:v>3116</x:v>
      </x:c>
      <x:c r="P874" s="26" t="n">
        <x:v>1108</x:v>
      </x:c>
      <x:c r="Q874" s="26" t="n">
        <x:f>K874*P874</x:f>
        <x:v>2216</x:v>
      </x:c>
      <x:c r="R874" s="26" t="n">
        <x:f>O874-Q874</x:f>
        <x:v>900</x:v>
      </x:c>
      <x:c r="S874" s="28" t="n">
        <x:f>IF(O874=0,0,R874/O874)</x:f>
        <x:v>0.2888318356867779</x:v>
      </x:c>
      <x:c r="T874" s="25" t="str">
        <x:v>Cash</x:v>
      </x:c>
      <x:c r="U874" s="25" t="str">
        <x:v>Completed</x:v>
      </x:c>
      <x:c r="V874" s="29" t="n">
        <x:v>3</x:v>
      </x:c>
    </x:row>
    <x:row r="875">
      <x:c r="A875" s="23" t="str">
        <x:v>MAN-2025-00874</x:v>
      </x:c>
      <x:c r="B875" s="24" t="n">
        <x:v>45807</x:v>
      </x:c>
      <x:c r="C875" s="25" t="str">
        <x:v>Mansoura</x:v>
      </x:c>
      <x:c r="D875" s="25" t="str">
        <x:v>Mansoura City</x:v>
      </x:c>
      <x:c r="E875" s="25" t="str">
        <x:v>Aya Farouk</x:v>
      </x:c>
      <x:c r="F875" s="25" t="str">
        <x:v>Mostafa Khalil</x:v>
      </x:c>
      <x:c r="G875" s="25" t="str">
        <x:v>Corporate</x:v>
      </x:c>
      <x:c r="H875" s="25" t="str">
        <x:v>Website</x:v>
      </x:c>
      <x:c r="I875" s="25" t="str">
        <x:v>Furniture</x:v>
      </x:c>
      <x:c r="J875" s="25" t="str">
        <x:v>Bookshelf</x:v>
      </x:c>
      <x:c r="K875" s="25" t="n">
        <x:v>4</x:v>
      </x:c>
      <x:c r="L875" s="26" t="n">
        <x:v>3020</x:v>
      </x:c>
      <x:c r="M875" s="27" t="n">
        <x:v>0</x:v>
      </x:c>
      <x:c r="N875" s="26" t="n">
        <x:f>K875*L875</x:f>
        <x:v>12080</x:v>
      </x:c>
      <x:c r="O875" s="26" t="n">
        <x:f>N875*(1-M875)</x:f>
        <x:v>12080</x:v>
      </x:c>
      <x:c r="P875" s="26" t="n">
        <x:v>2161</x:v>
      </x:c>
      <x:c r="Q875" s="26" t="n">
        <x:f>K875*P875</x:f>
        <x:v>8644</x:v>
      </x:c>
      <x:c r="R875" s="26" t="n">
        <x:f>O875-Q875</x:f>
        <x:v>3436</x:v>
      </x:c>
      <x:c r="S875" s="28" t="n">
        <x:f>IF(O875=0,0,R875/O875)</x:f>
        <x:v>0.28443708609271523</x:v>
      </x:c>
      <x:c r="T875" s="25" t="str">
        <x:v>Credit Card</x:v>
      </x:c>
      <x:c r="U875" s="25" t="str">
        <x:v>Cancelled</x:v>
      </x:c>
      <x:c r="V875" s="29" t="n">
        <x:v>4</x:v>
      </x:c>
    </x:row>
    <x:row r="876">
      <x:c r="A876" s="23" t="str">
        <x:v>MAN-2025-00875</x:v>
      </x:c>
      <x:c r="B876" s="24" t="n">
        <x:v>45901</x:v>
      </x:c>
      <x:c r="C876" s="25" t="str">
        <x:v>Mansoura</x:v>
      </x:c>
      <x:c r="D876" s="25" t="str">
        <x:v>Aga</x:v>
      </x:c>
      <x:c r="E876" s="25" t="str">
        <x:v>Aya Farouk</x:v>
      </x:c>
      <x:c r="F876" s="25" t="str">
        <x:v>Mariam Hassan</x:v>
      </x:c>
      <x:c r="G876" s="25" t="str">
        <x:v>Consumer</x:v>
      </x:c>
      <x:c r="H876" s="25" t="str">
        <x:v>Retail Store</x:v>
      </x:c>
      <x:c r="I876" s="25" t="str">
        <x:v>Furniture</x:v>
      </x:c>
      <x:c r="J876" s="25" t="str">
        <x:v>Bookshelf</x:v>
      </x:c>
      <x:c r="K876" s="25" t="n">
        <x:v>3</x:v>
      </x:c>
      <x:c r="L876" s="26" t="n">
        <x:v>2946</x:v>
      </x:c>
      <x:c r="M876" s="27" t="n">
        <x:v>0.05</x:v>
      </x:c>
      <x:c r="N876" s="26" t="n">
        <x:f>K876*L876</x:f>
        <x:v>8838</x:v>
      </x:c>
      <x:c r="O876" s="26" t="n">
        <x:f>N876*(1-M876)</x:f>
        <x:v>8396.1</x:v>
      </x:c>
      <x:c r="P876" s="26" t="n">
        <x:v>2212</x:v>
      </x:c>
      <x:c r="Q876" s="26" t="n">
        <x:f>K876*P876</x:f>
        <x:v>6636</x:v>
      </x:c>
      <x:c r="R876" s="26" t="n">
        <x:f>O876-Q876</x:f>
        <x:v>1760.1000000000004</x:v>
      </x:c>
      <x:c r="S876" s="28" t="n">
        <x:f>IF(O876=0,0,R876/O876)</x:f>
        <x:v>0.20963304391324547</x:v>
      </x:c>
      <x:c r="T876" s="25" t="str">
        <x:v>Bank Transfer</x:v>
      </x:c>
      <x:c r="U876" s="25" t="str">
        <x:v>Completed</x:v>
      </x:c>
      <x:c r="V876" s="29" t="n">
        <x:v>4</x:v>
      </x:c>
    </x:row>
    <x:row r="877">
      <x:c r="A877" s="23" t="str">
        <x:v>MAN-2025-00876</x:v>
      </x:c>
      <x:c r="B877" s="24" t="n">
        <x:v>45813</x:v>
      </x:c>
      <x:c r="C877" s="25" t="str">
        <x:v>Mansoura</x:v>
      </x:c>
      <x:c r="D877" s="25" t="str">
        <x:v>Sherbin</x:v>
      </x:c>
      <x:c r="E877" s="25" t="str">
        <x:v>Aya Farouk</x:v>
      </x:c>
      <x:c r="F877" s="25" t="str">
        <x:v>Youssef Ibrahim</x:v>
      </x:c>
      <x:c r="G877" s="25" t="str">
        <x:v>Corporate</x:v>
      </x:c>
      <x:c r="H877" s="25" t="str">
        <x:v>Website</x:v>
      </x:c>
      <x:c r="I877" s="25" t="str">
        <x:v>Electronics</x:v>
      </x:c>
      <x:c r="J877" s="25" t="str">
        <x:v>Headphones</x:v>
      </x:c>
      <x:c r="K877" s="25" t="n">
        <x:v>1</x:v>
      </x:c>
      <x:c r="L877" s="26" t="n">
        <x:v>1647</x:v>
      </x:c>
      <x:c r="M877" s="27" t="n">
        <x:v>0.15</x:v>
      </x:c>
      <x:c r="N877" s="26" t="n">
        <x:f>K877*L877</x:f>
        <x:v>1647</x:v>
      </x:c>
      <x:c r="O877" s="26" t="n">
        <x:f>N877*(1-M877)</x:f>
        <x:v>1399.95</x:v>
      </x:c>
      <x:c r="P877" s="26" t="n">
        <x:v>1141</x:v>
      </x:c>
      <x:c r="Q877" s="26" t="n">
        <x:f>K877*P877</x:f>
        <x:v>1141</x:v>
      </x:c>
      <x:c r="R877" s="26" t="n">
        <x:f>O877-Q877</x:f>
        <x:v>258.95000000000005</x:v>
      </x:c>
      <x:c r="S877" s="28" t="n">
        <x:f>IF(O877=0,0,R877/O877)</x:f>
        <x:v>0.18497089181756493</x:v>
      </x:c>
      <x:c r="T877" s="25" t="str">
        <x:v>Cash</x:v>
      </x:c>
      <x:c r="U877" s="25" t="str">
        <x:v>Completed</x:v>
      </x:c>
      <x:c r="V877" s="29" t="n">
        <x:v>4</x:v>
      </x:c>
    </x:row>
    <x:row r="878">
      <x:c r="A878" s="23" t="str">
        <x:v>MAN-2025-00877</x:v>
      </x:c>
      <x:c r="B878" s="24" t="n">
        <x:v>45709</x:v>
      </x:c>
      <x:c r="C878" s="25" t="str">
        <x:v>Mansoura</x:v>
      </x:c>
      <x:c r="D878" s="25" t="str">
        <x:v>Talkha</x:v>
      </x:c>
      <x:c r="E878" s="25" t="str">
        <x:v>Aya Farouk</x:v>
      </x:c>
      <x:c r="F878" s="25" t="str">
        <x:v>Salma Tarek</x:v>
      </x:c>
      <x:c r="G878" s="25" t="str">
        <x:v>Small Business</x:v>
      </x:c>
      <x:c r="H878" s="25" t="str">
        <x:v>Website</x:v>
      </x:c>
      <x:c r="I878" s="25" t="str">
        <x:v>Electronics</x:v>
      </x:c>
      <x:c r="J878" s="25" t="str">
        <x:v>Tablet</x:v>
      </x:c>
      <x:c r="K878" s="25" t="n">
        <x:v>1</x:v>
      </x:c>
      <x:c r="L878" s="26" t="n">
        <x:v>8847</x:v>
      </x:c>
      <x:c r="M878" s="27" t="n">
        <x:v>0</x:v>
      </x:c>
      <x:c r="N878" s="26" t="n">
        <x:f>K878*L878</x:f>
        <x:v>8847</x:v>
      </x:c>
      <x:c r="O878" s="26" t="n">
        <x:f>N878*(1-M878)</x:f>
        <x:v>8847</x:v>
      </x:c>
      <x:c r="P878" s="26" t="n">
        <x:v>7357</x:v>
      </x:c>
      <x:c r="Q878" s="26" t="n">
        <x:f>K878*P878</x:f>
        <x:v>7357</x:v>
      </x:c>
      <x:c r="R878" s="26" t="n">
        <x:f>O878-Q878</x:f>
        <x:v>1490</x:v>
      </x:c>
      <x:c r="S878" s="28" t="n">
        <x:f>IF(O878=0,0,R878/O878)</x:f>
        <x:v>0.168418672996496</x:v>
      </x:c>
      <x:c r="T878" s="25" t="str">
        <x:v>Debit Card</x:v>
      </x:c>
      <x:c r="U878" s="25" t="str">
        <x:v>Completed</x:v>
      </x:c>
      <x:c r="V878" s="29" t="n">
        <x:v>4</x:v>
      </x:c>
    </x:row>
    <x:row r="879">
      <x:c r="A879" s="23" t="str">
        <x:v>MAN-2025-00878</x:v>
      </x:c>
      <x:c r="B879" s="24" t="n">
        <x:v>45746</x:v>
      </x:c>
      <x:c r="C879" s="25" t="str">
        <x:v>Mansoura</x:v>
      </x:c>
      <x:c r="D879" s="25" t="str">
        <x:v>Sherbin</x:v>
      </x:c>
      <x:c r="E879" s="25" t="str">
        <x:v>Ali Sayed</x:v>
      </x:c>
      <x:c r="F879" s="25" t="str">
        <x:v>Hana Fathy</x:v>
      </x:c>
      <x:c r="G879" s="25" t="str">
        <x:v>Consumer</x:v>
      </x:c>
      <x:c r="H879" s="25" t="str">
        <x:v>Website</x:v>
      </x:c>
      <x:c r="I879" s="25" t="str">
        <x:v>Furniture</x:v>
      </x:c>
      <x:c r="J879" s="25" t="str">
        <x:v>Desk</x:v>
      </x:c>
      <x:c r="K879" s="25" t="n">
        <x:v>3</x:v>
      </x:c>
      <x:c r="L879" s="26" t="n">
        <x:v>5099</x:v>
      </x:c>
      <x:c r="M879" s="27" t="n">
        <x:v>0</x:v>
      </x:c>
      <x:c r="N879" s="26" t="n">
        <x:f>K879*L879</x:f>
        <x:v>15297</x:v>
      </x:c>
      <x:c r="O879" s="26" t="n">
        <x:f>N879*(1-M879)</x:f>
        <x:v>15297</x:v>
      </x:c>
      <x:c r="P879" s="26" t="n">
        <x:v>3786</x:v>
      </x:c>
      <x:c r="Q879" s="26" t="n">
        <x:f>K879*P879</x:f>
        <x:v>11358</x:v>
      </x:c>
      <x:c r="R879" s="26" t="n">
        <x:f>O879-Q879</x:f>
        <x:v>3939</x:v>
      </x:c>
      <x:c r="S879" s="28" t="n">
        <x:f>IF(O879=0,0,R879/O879)</x:f>
        <x:v>0.2575014708766425</x:v>
      </x:c>
      <x:c r="T879" s="25" t="str">
        <x:v>Debit Card</x:v>
      </x:c>
      <x:c r="U879" s="25" t="str">
        <x:v>Completed</x:v>
      </x:c>
      <x:c r="V879" s="29" t="n">
        <x:v>5</x:v>
      </x:c>
    </x:row>
    <x:row r="880">
      <x:c r="A880" s="23" t="str">
        <x:v>MAN-2025-00879</x:v>
      </x:c>
      <x:c r="B880" s="24" t="n">
        <x:v>45967</x:v>
      </x:c>
      <x:c r="C880" s="25" t="str">
        <x:v>Mansoura</x:v>
      </x:c>
      <x:c r="D880" s="25" t="str">
        <x:v>Talkha</x:v>
      </x:c>
      <x:c r="E880" s="25" t="str">
        <x:v>Ali Sayed</x:v>
      </x:c>
      <x:c r="F880" s="25" t="str">
        <x:v>Youssef Sayed</x:v>
      </x:c>
      <x:c r="G880" s="25" t="str">
        <x:v>Consumer</x:v>
      </x:c>
      <x:c r="H880" s="25" t="str">
        <x:v>Retail Store</x:v>
      </x:c>
      <x:c r="I880" s="25" t="str">
        <x:v>Electronics</x:v>
      </x:c>
      <x:c r="J880" s="25" t="str">
        <x:v>Headphones</x:v>
      </x:c>
      <x:c r="K880" s="25" t="n">
        <x:v>6</x:v>
      </x:c>
      <x:c r="L880" s="26" t="n">
        <x:v>1728</x:v>
      </x:c>
      <x:c r="M880" s="27" t="n">
        <x:v>0</x:v>
      </x:c>
      <x:c r="N880" s="26" t="n">
        <x:f>K880*L880</x:f>
        <x:v>10368</x:v>
      </x:c>
      <x:c r="O880" s="26" t="n">
        <x:f>N880*(1-M880)</x:f>
        <x:v>10368</x:v>
      </x:c>
      <x:c r="P880" s="26" t="n">
        <x:v>1123</x:v>
      </x:c>
      <x:c r="Q880" s="26" t="n">
        <x:f>K880*P880</x:f>
        <x:v>6738</x:v>
      </x:c>
      <x:c r="R880" s="26" t="n">
        <x:f>O880-Q880</x:f>
        <x:v>3630</x:v>
      </x:c>
      <x:c r="S880" s="28" t="n">
        <x:f>IF(O880=0,0,R880/O880)</x:f>
        <x:v>0.35011574074074076</x:v>
      </x:c>
      <x:c r="T880" s="25" t="str">
        <x:v>Digital Wallet</x:v>
      </x:c>
      <x:c r="U880" s="25" t="str">
        <x:v>Completed</x:v>
      </x:c>
      <x:c r="V880" s="29" t="n">
        <x:v>4</x:v>
      </x:c>
    </x:row>
    <x:row r="881">
      <x:c r="A881" s="23" t="str">
        <x:v>MAN-2025-00880</x:v>
      </x:c>
      <x:c r="B881" s="24" t="n">
        <x:v>45851</x:v>
      </x:c>
      <x:c r="C881" s="25" t="str">
        <x:v>Mansoura</x:v>
      </x:c>
      <x:c r="D881" s="25" t="str">
        <x:v>Talkha</x:v>
      </x:c>
      <x:c r="E881" s="25" t="str">
        <x:v>Salma Mansour</x:v>
      </x:c>
      <x:c r="F881" s="25" t="str">
        <x:v>Hana Samir</x:v>
      </x:c>
      <x:c r="G881" s="25" t="str">
        <x:v>Consumer</x:v>
      </x:c>
      <x:c r="H881" s="25" t="str">
        <x:v>Retail Store</x:v>
      </x:c>
      <x:c r="I881" s="25" t="str">
        <x:v>Furniture</x:v>
      </x:c>
      <x:c r="J881" s="25" t="str">
        <x:v>Sofa</x:v>
      </x:c>
      <x:c r="K881" s="25" t="n">
        <x:v>4</x:v>
      </x:c>
      <x:c r="L881" s="26" t="n">
        <x:v>13182</x:v>
      </x:c>
      <x:c r="M881" s="27" t="n">
        <x:v>0.1</x:v>
      </x:c>
      <x:c r="N881" s="26" t="n">
        <x:f>K881*L881</x:f>
        <x:v>52728</x:v>
      </x:c>
      <x:c r="O881" s="26" t="n">
        <x:f>N881*(1-M881)</x:f>
        <x:v>47455.200000000004</x:v>
      </x:c>
      <x:c r="P881" s="26" t="n">
        <x:v>11105</x:v>
      </x:c>
      <x:c r="Q881" s="26" t="n">
        <x:f>K881*P881</x:f>
        <x:v>44420</x:v>
      </x:c>
      <x:c r="R881" s="26" t="n">
        <x:f>O881-Q881</x:f>
        <x:v>3035.2000000000044</x:v>
      </x:c>
      <x:c r="S881" s="28" t="n">
        <x:f>IF(O881=0,0,R881/O881)</x:f>
        <x:v>0.06395927105986286</x:v>
      </x:c>
      <x:c r="T881" s="25" t="str">
        <x:v>Digital Wallet</x:v>
      </x:c>
      <x:c r="U881" s="25" t="str">
        <x:v>Completed</x:v>
      </x:c>
      <x:c r="V881" s="29" t="n">
        <x:v>4</x:v>
      </x:c>
    </x:row>
    <x:row r="882">
      <x:c r="A882" s="23" t="str">
        <x:v>MAN-2025-00881</x:v>
      </x:c>
      <x:c r="B882" s="24" t="n">
        <x:v>45728</x:v>
      </x:c>
      <x:c r="C882" s="25" t="str">
        <x:v>Mansoura</x:v>
      </x:c>
      <x:c r="D882" s="25" t="str">
        <x:v>Sherbin</x:v>
      </x:c>
      <x:c r="E882" s="25" t="str">
        <x:v>Salma Mansour</x:v>
      </x:c>
      <x:c r="F882" s="25" t="str">
        <x:v>Karim Tarek</x:v>
      </x:c>
      <x:c r="G882" s="25" t="str">
        <x:v>Corporate</x:v>
      </x:c>
      <x:c r="H882" s="25" t="str">
        <x:v>Mobile App</x:v>
      </x:c>
      <x:c r="I882" s="25" t="str">
        <x:v>Home Appliances</x:v>
      </x:c>
      <x:c r="J882" s="25" t="str">
        <x:v>Washing Machine</x:v>
      </x:c>
      <x:c r="K882" s="25" t="n">
        <x:v>4</x:v>
      </x:c>
      <x:c r="L882" s="26" t="n">
        <x:v>16179</x:v>
      </x:c>
      <x:c r="M882" s="27" t="n">
        <x:v>0.1</x:v>
      </x:c>
      <x:c r="N882" s="26" t="n">
        <x:f>K882*L882</x:f>
        <x:v>64716</x:v>
      </x:c>
      <x:c r="O882" s="26" t="n">
        <x:f>N882*(1-M882)</x:f>
        <x:v>58244.4</x:v>
      </x:c>
      <x:c r="P882" s="26" t="n">
        <x:v>13884</x:v>
      </x:c>
      <x:c r="Q882" s="26" t="n">
        <x:f>K882*P882</x:f>
        <x:v>55536</x:v>
      </x:c>
      <x:c r="R882" s="26" t="n">
        <x:f>O882-Q882</x:f>
        <x:v>2708.4000000000015</x:v>
      </x:c>
      <x:c r="S882" s="28" t="n">
        <x:f>IF(O882=0,0,R882/O882)</x:f>
        <x:v>0.046500607783752625</x:v>
      </x:c>
      <x:c r="T882" s="25" t="str">
        <x:v>Cash</x:v>
      </x:c>
      <x:c r="U882" s="25" t="str">
        <x:v>Completed</x:v>
      </x:c>
      <x:c r="V882" s="29" t="n">
        <x:v>4</x:v>
      </x:c>
    </x:row>
    <x:row r="883">
      <x:c r="A883" s="23" t="str">
        <x:v>MAN-2025-00882</x:v>
      </x:c>
      <x:c r="B883" s="24" t="n">
        <x:v>45785</x:v>
      </x:c>
      <x:c r="C883" s="25" t="str">
        <x:v>Mansoura</x:v>
      </x:c>
      <x:c r="D883" s="25" t="str">
        <x:v>Mit Ghamr</x:v>
      </x:c>
      <x:c r="E883" s="25" t="str">
        <x:v>Ali Sayed</x:v>
      </x:c>
      <x:c r="F883" s="25" t="str">
        <x:v>Hana Tarek</x:v>
      </x:c>
      <x:c r="G883" s="25" t="str">
        <x:v>Consumer</x:v>
      </x:c>
      <x:c r="H883" s="25" t="str">
        <x:v>Retail Store</x:v>
      </x:c>
      <x:c r="I883" s="25" t="str">
        <x:v>Electronics</x:v>
      </x:c>
      <x:c r="J883" s="25" t="str">
        <x:v>Headphones</x:v>
      </x:c>
      <x:c r="K883" s="25" t="n">
        <x:v>2</x:v>
      </x:c>
      <x:c r="L883" s="26" t="n">
        <x:v>1640</x:v>
      </x:c>
      <x:c r="M883" s="27" t="n">
        <x:v>0.15</x:v>
      </x:c>
      <x:c r="N883" s="26" t="n">
        <x:f>K883*L883</x:f>
        <x:v>3280</x:v>
      </x:c>
      <x:c r="O883" s="26" t="n">
        <x:f>N883*(1-M883)</x:f>
        <x:v>2788</x:v>
      </x:c>
      <x:c r="P883" s="26" t="n">
        <x:v>1084</x:v>
      </x:c>
      <x:c r="Q883" s="26" t="n">
        <x:f>K883*P883</x:f>
        <x:v>2168</x:v>
      </x:c>
      <x:c r="R883" s="26" t="n">
        <x:f>O883-Q883</x:f>
        <x:v>620</x:v>
      </x:c>
      <x:c r="S883" s="28" t="n">
        <x:f>IF(O883=0,0,R883/O883)</x:f>
        <x:v>0.2223816355810617</x:v>
      </x:c>
      <x:c r="T883" s="25" t="str">
        <x:v>Debit Card</x:v>
      </x:c>
      <x:c r="U883" s="25" t="str">
        <x:v>Returned</x:v>
      </x:c>
      <x:c r="V883" s="29" t="n">
        <x:v>5</x:v>
      </x:c>
    </x:row>
    <x:row r="884">
      <x:c r="A884" s="23" t="str">
        <x:v>MAN-2025-00883</x:v>
      </x:c>
      <x:c r="B884" s="24" t="n">
        <x:v>45936</x:v>
      </x:c>
      <x:c r="C884" s="25" t="str">
        <x:v>Mansoura</x:v>
      </x:c>
      <x:c r="D884" s="25" t="str">
        <x:v>Sherbin</x:v>
      </x:c>
      <x:c r="E884" s="25" t="str">
        <x:v>Ali Sayed</x:v>
      </x:c>
      <x:c r="F884" s="25" t="str">
        <x:v>Mahmoud Tarek</x:v>
      </x:c>
      <x:c r="G884" s="25" t="str">
        <x:v>Corporate</x:v>
      </x:c>
      <x:c r="H884" s="25" t="str">
        <x:v>Mobile App</x:v>
      </x:c>
      <x:c r="I884" s="25" t="str">
        <x:v>Home Appliances</x:v>
      </x:c>
      <x:c r="J884" s="25" t="str">
        <x:v>Washing Machine</x:v>
      </x:c>
      <x:c r="K884" s="25" t="n">
        <x:v>6</x:v>
      </x:c>
      <x:c r="L884" s="26" t="n">
        <x:v>15522</x:v>
      </x:c>
      <x:c r="M884" s="27" t="n">
        <x:v>0</x:v>
      </x:c>
      <x:c r="N884" s="26" t="n">
        <x:f>K884*L884</x:f>
        <x:v>93132</x:v>
      </x:c>
      <x:c r="O884" s="26" t="n">
        <x:f>N884*(1-M884)</x:f>
        <x:v>93132</x:v>
      </x:c>
      <x:c r="P884" s="26" t="n">
        <x:v>13964</x:v>
      </x:c>
      <x:c r="Q884" s="26" t="n">
        <x:f>K884*P884</x:f>
        <x:v>83784</x:v>
      </x:c>
      <x:c r="R884" s="26" t="n">
        <x:f>O884-Q884</x:f>
        <x:v>9348</x:v>
      </x:c>
      <x:c r="S884" s="28" t="n">
        <x:f>IF(O884=0,0,R884/O884)</x:f>
        <x:v>0.10037366318773354</x:v>
      </x:c>
      <x:c r="T884" s="25" t="str">
        <x:v>Debit Card</x:v>
      </x:c>
      <x:c r="U884" s="25" t="str">
        <x:v>Completed</x:v>
      </x:c>
      <x:c r="V884" s="29" t="n">
        <x:v>5</x:v>
      </x:c>
    </x:row>
    <x:row r="885">
      <x:c r="A885" s="23" t="str">
        <x:v>MAN-2025-00884</x:v>
      </x:c>
      <x:c r="B885" s="24" t="n">
        <x:v>45716</x:v>
      </x:c>
      <x:c r="C885" s="25" t="str">
        <x:v>Mansoura</x:v>
      </x:c>
      <x:c r="D885" s="25" t="str">
        <x:v>Talkha</x:v>
      </x:c>
      <x:c r="E885" s="25" t="str">
        <x:v>Youssef Fathy</x:v>
      </x:c>
      <x:c r="F885" s="25" t="str">
        <x:v>Mohamed Farouk</x:v>
      </x:c>
      <x:c r="G885" s="25" t="str">
        <x:v>Small Business</x:v>
      </x:c>
      <x:c r="H885" s="25" t="str">
        <x:v>Phone Order</x:v>
      </x:c>
      <x:c r="I885" s="25" t="str">
        <x:v>Home Appliances</x:v>
      </x:c>
      <x:c r="J885" s="25" t="str">
        <x:v>Air Conditioner</x:v>
      </x:c>
      <x:c r="K885" s="25" t="n">
        <x:v>4</x:v>
      </x:c>
      <x:c r="L885" s="26" t="n">
        <x:v>20488</x:v>
      </x:c>
      <x:c r="M885" s="27" t="n">
        <x:v>0</x:v>
      </x:c>
      <x:c r="N885" s="26" t="n">
        <x:f>K885*L885</x:f>
        <x:v>81952</x:v>
      </x:c>
      <x:c r="O885" s="26" t="n">
        <x:f>N885*(1-M885)</x:f>
        <x:v>81952</x:v>
      </x:c>
      <x:c r="P885" s="26" t="n">
        <x:v>17819</x:v>
      </x:c>
      <x:c r="Q885" s="26" t="n">
        <x:f>K885*P885</x:f>
        <x:v>71276</x:v>
      </x:c>
      <x:c r="R885" s="26" t="n">
        <x:f>O885-Q885</x:f>
        <x:v>10676</x:v>
      </x:c>
      <x:c r="S885" s="28" t="n">
        <x:f>IF(O885=0,0,R885/O885)</x:f>
        <x:v>0.13027137836782507</x:v>
      </x:c>
      <x:c r="T885" s="25" t="str">
        <x:v>Digital Wallet</x:v>
      </x:c>
      <x:c r="U885" s="25" t="str">
        <x:v>Cancelled</x:v>
      </x:c>
      <x:c r="V885" s="29" t="n">
        <x:v>4</x:v>
      </x:c>
    </x:row>
    <x:row r="886">
      <x:c r="A886" s="23" t="str">
        <x:v>MAN-2025-00885</x:v>
      </x:c>
      <x:c r="B886" s="24" t="n">
        <x:v>45869</x:v>
      </x:c>
      <x:c r="C886" s="25" t="str">
        <x:v>Mansoura</x:v>
      </x:c>
      <x:c r="D886" s="25" t="str">
        <x:v>Sherbin</x:v>
      </x:c>
      <x:c r="E886" s="25" t="str">
        <x:v>Salma Mansour</x:v>
      </x:c>
      <x:c r="F886" s="25" t="str">
        <x:v>Farah Khalil</x:v>
      </x:c>
      <x:c r="G886" s="25" t="str">
        <x:v>Small Business</x:v>
      </x:c>
      <x:c r="H886" s="25" t="str">
        <x:v>Website</x:v>
      </x:c>
      <x:c r="I886" s="25" t="str">
        <x:v>Furniture</x:v>
      </x:c>
      <x:c r="J886" s="25" t="str">
        <x:v>Office Chair</x:v>
      </x:c>
      <x:c r="K886" s="25" t="n">
        <x:v>1</x:v>
      </x:c>
      <x:c r="L886" s="26" t="n">
        <x:v>3715</x:v>
      </x:c>
      <x:c r="M886" s="27" t="n">
        <x:v>0</x:v>
      </x:c>
      <x:c r="N886" s="26" t="n">
        <x:f>K886*L886</x:f>
        <x:v>3715</x:v>
      </x:c>
      <x:c r="O886" s="26" t="n">
        <x:f>N886*(1-M886)</x:f>
        <x:v>3715</x:v>
      </x:c>
      <x:c r="P886" s="26" t="n">
        <x:v>2809</x:v>
      </x:c>
      <x:c r="Q886" s="26" t="n">
        <x:f>K886*P886</x:f>
        <x:v>2809</x:v>
      </x:c>
      <x:c r="R886" s="26" t="n">
        <x:f>O886-Q886</x:f>
        <x:v>906</x:v>
      </x:c>
      <x:c r="S886" s="28" t="n">
        <x:f>IF(O886=0,0,R886/O886)</x:f>
        <x:v>0.24387617765814265</x:v>
      </x:c>
      <x:c r="T886" s="25" t="str">
        <x:v>Debit Card</x:v>
      </x:c>
      <x:c r="U886" s="25" t="str">
        <x:v>Completed</x:v>
      </x:c>
      <x:c r="V886" s="29" t="n">
        <x:v>4</x:v>
      </x:c>
    </x:row>
    <x:row r="887">
      <x:c r="A887" s="23" t="str">
        <x:v>MAN-2025-00886</x:v>
      </x:c>
      <x:c r="B887" s="24" t="n">
        <x:v>45677</x:v>
      </x:c>
      <x:c r="C887" s="25" t="str">
        <x:v>Mansoura</x:v>
      </x:c>
      <x:c r="D887" s="25" t="str">
        <x:v>Mansoura City</x:v>
      </x:c>
      <x:c r="E887" s="25" t="str">
        <x:v>Youssef Fathy</x:v>
      </x:c>
      <x:c r="F887" s="25" t="str">
        <x:v>Mariam Samir</x:v>
      </x:c>
      <x:c r="G887" s="25" t="str">
        <x:v>Corporate</x:v>
      </x:c>
      <x:c r="H887" s="25" t="str">
        <x:v>Website</x:v>
      </x:c>
      <x:c r="I887" s="25" t="str">
        <x:v>Furniture</x:v>
      </x:c>
      <x:c r="J887" s="25" t="str">
        <x:v>Office Chair</x:v>
      </x:c>
      <x:c r="K887" s="25" t="n">
        <x:v>1</x:v>
      </x:c>
      <x:c r="L887" s="26" t="n">
        <x:v>3865</x:v>
      </x:c>
      <x:c r="M887" s="27" t="n">
        <x:v>0</x:v>
      </x:c>
      <x:c r="N887" s="26" t="n">
        <x:f>K887*L887</x:f>
        <x:v>3865</x:v>
      </x:c>
      <x:c r="O887" s="26" t="n">
        <x:f>N887*(1-M887)</x:f>
        <x:v>3865</x:v>
      </x:c>
      <x:c r="P887" s="26" t="n">
        <x:v>2921</x:v>
      </x:c>
      <x:c r="Q887" s="26" t="n">
        <x:f>K887*P887</x:f>
        <x:v>2921</x:v>
      </x:c>
      <x:c r="R887" s="26" t="n">
        <x:f>O887-Q887</x:f>
        <x:v>944</x:v>
      </x:c>
      <x:c r="S887" s="28" t="n">
        <x:f>IF(O887=0,0,R887/O887)</x:f>
        <x:v>0.2442432082794308</x:v>
      </x:c>
      <x:c r="T887" s="25" t="str">
        <x:v>Digital Wallet</x:v>
      </x:c>
      <x:c r="U887" s="25" t="str">
        <x:v>Cancelled</x:v>
      </x:c>
      <x:c r="V887" s="29" t="n">
        <x:v>5</x:v>
      </x:c>
    </x:row>
    <x:row r="888">
      <x:c r="A888" s="23" t="str">
        <x:v>MAN-2025-00887</x:v>
      </x:c>
      <x:c r="B888" s="24" t="n">
        <x:v>45835</x:v>
      </x:c>
      <x:c r="C888" s="25" t="str">
        <x:v>Mansoura</x:v>
      </x:c>
      <x:c r="D888" s="25" t="str">
        <x:v>Aga</x:v>
      </x:c>
      <x:c r="E888" s="25" t="str">
        <x:v>Salma Mansour</x:v>
      </x:c>
      <x:c r="F888" s="25" t="str">
        <x:v>Mariam Mansour</x:v>
      </x:c>
      <x:c r="G888" s="25" t="str">
        <x:v>Small Business</x:v>
      </x:c>
      <x:c r="H888" s="25" t="str">
        <x:v>Phone Order</x:v>
      </x:c>
      <x:c r="I888" s="25" t="str">
        <x:v>Office Supplies</x:v>
      </x:c>
      <x:c r="J888" s="25" t="str">
        <x:v>Paper Box</x:v>
      </x:c>
      <x:c r="K888" s="25" t="n">
        <x:v>1</x:v>
      </x:c>
      <x:c r="L888" s="26" t="n">
        <x:v>355</x:v>
      </x:c>
      <x:c r="M888" s="27" t="n">
        <x:v>0</x:v>
      </x:c>
      <x:c r="N888" s="26" t="n">
        <x:f>K888*L888</x:f>
        <x:v>355</x:v>
      </x:c>
      <x:c r="O888" s="26" t="n">
        <x:f>N888*(1-M888)</x:f>
        <x:v>355</x:v>
      </x:c>
      <x:c r="P888" s="26" t="n">
        <x:v>259</x:v>
      </x:c>
      <x:c r="Q888" s="26" t="n">
        <x:f>K888*P888</x:f>
        <x:v>259</x:v>
      </x:c>
      <x:c r="R888" s="26" t="n">
        <x:f>O888-Q888</x:f>
        <x:v>96</x:v>
      </x:c>
      <x:c r="S888" s="28" t="n">
        <x:f>IF(O888=0,0,R888/O888)</x:f>
        <x:v>0.2704225352112676</x:v>
      </x:c>
      <x:c r="T888" s="25" t="str">
        <x:v>Debit Card</x:v>
      </x:c>
      <x:c r="U888" s="25" t="str">
        <x:v>Completed</x:v>
      </x:c>
      <x:c r="V888" s="29" t="n">
        <x:v>5</x:v>
      </x:c>
    </x:row>
    <x:row r="889">
      <x:c r="A889" s="23" t="str">
        <x:v>MAN-2025-00888</x:v>
      </x:c>
      <x:c r="B889" s="24" t="n">
        <x:v>45665</x:v>
      </x:c>
      <x:c r="C889" s="25" t="str">
        <x:v>Mansoura</x:v>
      </x:c>
      <x:c r="D889" s="25" t="str">
        <x:v>Talkha</x:v>
      </x:c>
      <x:c r="E889" s="25" t="str">
        <x:v>Salma Mansour</x:v>
      </x:c>
      <x:c r="F889" s="25" t="str">
        <x:v>Ali Farouk</x:v>
      </x:c>
      <x:c r="G889" s="25" t="str">
        <x:v>Corporate</x:v>
      </x:c>
      <x:c r="H889" s="25" t="str">
        <x:v>Retail Store</x:v>
      </x:c>
      <x:c r="I889" s="25" t="str">
        <x:v>Electronics</x:v>
      </x:c>
      <x:c r="J889" s="25" t="str">
        <x:v>Laptop</x:v>
      </x:c>
      <x:c r="K889" s="25" t="n">
        <x:v>3</x:v>
      </x:c>
      <x:c r="L889" s="26" t="n">
        <x:v>24643</x:v>
      </x:c>
      <x:c r="M889" s="27" t="n">
        <x:v>0.05</x:v>
      </x:c>
      <x:c r="N889" s="26" t="n">
        <x:f>K889*L889</x:f>
        <x:v>73929</x:v>
      </x:c>
      <x:c r="O889" s="26" t="n">
        <x:f>N889*(1-M889)</x:f>
        <x:v>70232.55</x:v>
      </x:c>
      <x:c r="P889" s="26" t="n">
        <x:v>21863</x:v>
      </x:c>
      <x:c r="Q889" s="26" t="n">
        <x:f>K889*P889</x:f>
        <x:v>65589</x:v>
      </x:c>
      <x:c r="R889" s="26" t="n">
        <x:f>O889-Q889</x:f>
        <x:v>4643.550000000003</x:v>
      </x:c>
      <x:c r="S889" s="28" t="n">
        <x:f>IF(O889=0,0,R889/O889)</x:f>
        <x:v>0.06611677918571948</x:v>
      </x:c>
      <x:c r="T889" s="25" t="str">
        <x:v>Digital Wallet</x:v>
      </x:c>
      <x:c r="U889" s="25" t="str">
        <x:v>Completed</x:v>
      </x:c>
      <x:c r="V889" s="29" t="n">
        <x:v>5</x:v>
      </x:c>
    </x:row>
    <x:row r="890">
      <x:c r="A890" s="23" t="str">
        <x:v>MAN-2025-00889</x:v>
      </x:c>
      <x:c r="B890" s="24" t="n">
        <x:v>45764</x:v>
      </x:c>
      <x:c r="C890" s="25" t="str">
        <x:v>Mansoura</x:v>
      </x:c>
      <x:c r="D890" s="25" t="str">
        <x:v>Aga</x:v>
      </x:c>
      <x:c r="E890" s="25" t="str">
        <x:v>Aya Farouk</x:v>
      </x:c>
      <x:c r="F890" s="25" t="str">
        <x:v>Ali Tarek</x:v>
      </x:c>
      <x:c r="G890" s="25" t="str">
        <x:v>Consumer</x:v>
      </x:c>
      <x:c r="H890" s="25" t="str">
        <x:v>Retail Store</x:v>
      </x:c>
      <x:c r="I890" s="25" t="str">
        <x:v>Home Appliances</x:v>
      </x:c>
      <x:c r="J890" s="25" t="str">
        <x:v>Microwave</x:v>
      </x:c>
      <x:c r="K890" s="25" t="n">
        <x:v>6</x:v>
      </x:c>
      <x:c r="L890" s="26" t="n">
        <x:v>5859</x:v>
      </x:c>
      <x:c r="M890" s="27" t="n">
        <x:v>0</x:v>
      </x:c>
      <x:c r="N890" s="26" t="n">
        <x:f>K890*L890</x:f>
        <x:v>35154</x:v>
      </x:c>
      <x:c r="O890" s="26" t="n">
        <x:f>N890*(1-M890)</x:f>
        <x:v>35154</x:v>
      </x:c>
      <x:c r="P890" s="26" t="n">
        <x:v>4311</x:v>
      </x:c>
      <x:c r="Q890" s="26" t="n">
        <x:f>K890*P890</x:f>
        <x:v>25866</x:v>
      </x:c>
      <x:c r="R890" s="26" t="n">
        <x:f>O890-Q890</x:f>
        <x:v>9288</x:v>
      </x:c>
      <x:c r="S890" s="28" t="n">
        <x:f>IF(O890=0,0,R890/O890)</x:f>
        <x:v>0.2642089093701997</x:v>
      </x:c>
      <x:c r="T890" s="25" t="str">
        <x:v>Credit Card</x:v>
      </x:c>
      <x:c r="U890" s="25" t="str">
        <x:v>Cancelled</x:v>
      </x:c>
      <x:c r="V890" s="29" t="n">
        <x:v>5</x:v>
      </x:c>
    </x:row>
    <x:row r="891">
      <x:c r="A891" s="23" t="str">
        <x:v>MAN-2025-00890</x:v>
      </x:c>
      <x:c r="B891" s="24" t="n">
        <x:v>45729</x:v>
      </x:c>
      <x:c r="C891" s="25" t="str">
        <x:v>Mansoura</x:v>
      </x:c>
      <x:c r="D891" s="25" t="str">
        <x:v>Aga</x:v>
      </x:c>
      <x:c r="E891" s="25" t="str">
        <x:v>Salma Mansour</x:v>
      </x:c>
      <x:c r="F891" s="25" t="str">
        <x:v>Ali Farouk</x:v>
      </x:c>
      <x:c r="G891" s="25" t="str">
        <x:v>Corporate</x:v>
      </x:c>
      <x:c r="H891" s="25" t="str">
        <x:v>Retail Store</x:v>
      </x:c>
      <x:c r="I891" s="25" t="str">
        <x:v>Office Supplies</x:v>
      </x:c>
      <x:c r="J891" s="25" t="str">
        <x:v>Paper Box</x:v>
      </x:c>
      <x:c r="K891" s="25" t="n">
        <x:v>5</x:v>
      </x:c>
      <x:c r="L891" s="26" t="n">
        <x:v>383</x:v>
      </x:c>
      <x:c r="M891" s="27" t="n">
        <x:v>0.1</x:v>
      </x:c>
      <x:c r="N891" s="26" t="n">
        <x:f>K891*L891</x:f>
        <x:v>1915</x:v>
      </x:c>
      <x:c r="O891" s="26" t="n">
        <x:f>N891*(1-M891)</x:f>
        <x:v>1723.5</x:v>
      </x:c>
      <x:c r="P891" s="26" t="n">
        <x:v>264</x:v>
      </x:c>
      <x:c r="Q891" s="26" t="n">
        <x:f>K891*P891</x:f>
        <x:v>1320</x:v>
      </x:c>
      <x:c r="R891" s="26" t="n">
        <x:f>O891-Q891</x:f>
        <x:v>403.5</x:v>
      </x:c>
      <x:c r="S891" s="28" t="n">
        <x:f>IF(O891=0,0,R891/O891)</x:f>
        <x:v>0.23411662315056572</x:v>
      </x:c>
      <x:c r="T891" s="25" t="str">
        <x:v>Credit Card</x:v>
      </x:c>
      <x:c r="U891" s="25" t="str">
        <x:v>Completed</x:v>
      </x:c>
      <x:c r="V891" s="29" t="n">
        <x:v>5</x:v>
      </x:c>
    </x:row>
    <x:row r="892">
      <x:c r="A892" s="23" t="str">
        <x:v>MAN-2025-00891</x:v>
      </x:c>
      <x:c r="B892" s="24" t="n">
        <x:v>45948</x:v>
      </x:c>
      <x:c r="C892" s="25" t="str">
        <x:v>Mansoura</x:v>
      </x:c>
      <x:c r="D892" s="25" t="str">
        <x:v>Aga</x:v>
      </x:c>
      <x:c r="E892" s="25" t="str">
        <x:v>Salma Mansour</x:v>
      </x:c>
      <x:c r="F892" s="25" t="str">
        <x:v>Mohamed Sayed</x:v>
      </x:c>
      <x:c r="G892" s="25" t="str">
        <x:v>Small Business</x:v>
      </x:c>
      <x:c r="H892" s="25" t="str">
        <x:v>Retail Store</x:v>
      </x:c>
      <x:c r="I892" s="25" t="str">
        <x:v>Electronics</x:v>
      </x:c>
      <x:c r="J892" s="25" t="str">
        <x:v>Smartphone</x:v>
      </x:c>
      <x:c r="K892" s="25" t="n">
        <x:v>4</x:v>
      </x:c>
      <x:c r="L892" s="26" t="n">
        <x:v>13274</x:v>
      </x:c>
      <x:c r="M892" s="27" t="n">
        <x:v>0.05</x:v>
      </x:c>
      <x:c r="N892" s="26" t="n">
        <x:f>K892*L892</x:f>
        <x:v>53096</x:v>
      </x:c>
      <x:c r="O892" s="26" t="n">
        <x:f>N892*(1-M892)</x:f>
        <x:v>50441.2</x:v>
      </x:c>
      <x:c r="P892" s="26" t="n">
        <x:v>10577</x:v>
      </x:c>
      <x:c r="Q892" s="26" t="n">
        <x:f>K892*P892</x:f>
        <x:v>42308</x:v>
      </x:c>
      <x:c r="R892" s="26" t="n">
        <x:f>O892-Q892</x:f>
        <x:v>8133.199999999997</x:v>
      </x:c>
      <x:c r="S892" s="28" t="n">
        <x:f>IF(O892=0,0,R892/O892)</x:f>
        <x:v>0.1612412075842763</x:v>
      </x:c>
      <x:c r="T892" s="25" t="str">
        <x:v>Bank Transfer</x:v>
      </x:c>
      <x:c r="U892" s="25" t="str">
        <x:v>Completed</x:v>
      </x:c>
      <x:c r="V892" s="29" t="n">
        <x:v>5</x:v>
      </x:c>
    </x:row>
    <x:row r="893">
      <x:c r="A893" s="23" t="str">
        <x:v>MAN-2025-00892</x:v>
      </x:c>
      <x:c r="B893" s="24" t="n">
        <x:v>45935</x:v>
      </x:c>
      <x:c r="C893" s="25" t="str">
        <x:v>Mansoura</x:v>
      </x:c>
      <x:c r="D893" s="25" t="str">
        <x:v>Mit Ghamr</x:v>
      </x:c>
      <x:c r="E893" s="25" t="str">
        <x:v>Ali Sayed</x:v>
      </x:c>
      <x:c r="F893" s="25" t="str">
        <x:v>Mostafa Mansour</x:v>
      </x:c>
      <x:c r="G893" s="25" t="str">
        <x:v>Consumer</x:v>
      </x:c>
      <x:c r="H893" s="25" t="str">
        <x:v>Retail Store</x:v>
      </x:c>
      <x:c r="I893" s="25" t="str">
        <x:v>Home Appliances</x:v>
      </x:c>
      <x:c r="J893" s="25" t="str">
        <x:v>Washing Machine</x:v>
      </x:c>
      <x:c r="K893" s="25" t="n">
        <x:v>4</x:v>
      </x:c>
      <x:c r="L893" s="26" t="n">
        <x:v>15760</x:v>
      </x:c>
      <x:c r="M893" s="27" t="n">
        <x:v>0.15</x:v>
      </x:c>
      <x:c r="N893" s="26" t="n">
        <x:f>K893*L893</x:f>
        <x:v>63040</x:v>
      </x:c>
      <x:c r="O893" s="26" t="n">
        <x:f>N893*(1-M893)</x:f>
        <x:v>53584</x:v>
      </x:c>
      <x:c r="P893" s="26" t="n">
        <x:v>13908</x:v>
      </x:c>
      <x:c r="Q893" s="26" t="n">
        <x:f>K893*P893</x:f>
        <x:v>55632</x:v>
      </x:c>
      <x:c r="R893" s="26" t="n">
        <x:f>O893-Q893</x:f>
        <x:v>-2048</x:v>
      </x:c>
      <x:c r="S893" s="28" t="n">
        <x:f>IF(O893=0,0,R893/O893)</x:f>
        <x:v>-0.03822036428784712</x:v>
      </x:c>
      <x:c r="T893" s="25" t="str">
        <x:v>Credit Card</x:v>
      </x:c>
      <x:c r="U893" s="25" t="str">
        <x:v>Completed</x:v>
      </x:c>
      <x:c r="V893" s="29" t="n">
        <x:v>4</x:v>
      </x:c>
    </x:row>
    <x:row r="894">
      <x:c r="A894" s="23" t="str">
        <x:v>MAN-2025-00893</x:v>
      </x:c>
      <x:c r="B894" s="24" t="n">
        <x:v>46014</x:v>
      </x:c>
      <x:c r="C894" s="25" t="str">
        <x:v>Mansoura</x:v>
      </x:c>
      <x:c r="D894" s="25" t="str">
        <x:v>Mit Ghamr</x:v>
      </x:c>
      <x:c r="E894" s="25" t="str">
        <x:v>Youssef Fathy</x:v>
      </x:c>
      <x:c r="F894" s="25" t="str">
        <x:v>Aya Nasser</x:v>
      </x:c>
      <x:c r="G894" s="25" t="str">
        <x:v>Consumer</x:v>
      </x:c>
      <x:c r="H894" s="25" t="str">
        <x:v>Phone Order</x:v>
      </x:c>
      <x:c r="I894" s="25" t="str">
        <x:v>Electronics</x:v>
      </x:c>
      <x:c r="J894" s="25" t="str">
        <x:v>Laptop</x:v>
      </x:c>
      <x:c r="K894" s="25" t="n">
        <x:v>1</x:v>
      </x:c>
      <x:c r="L894" s="26" t="n">
        <x:v>24113</x:v>
      </x:c>
      <x:c r="M894" s="27" t="n">
        <x:v>0</x:v>
      </x:c>
      <x:c r="N894" s="26" t="n">
        <x:f>K894*L894</x:f>
        <x:v>24113</x:v>
      </x:c>
      <x:c r="O894" s="26" t="n">
        <x:f>N894*(1-M894)</x:f>
        <x:v>24113</x:v>
      </x:c>
      <x:c r="P894" s="26" t="n">
        <x:v>21294</x:v>
      </x:c>
      <x:c r="Q894" s="26" t="n">
        <x:f>K894*P894</x:f>
        <x:v>21294</x:v>
      </x:c>
      <x:c r="R894" s="26" t="n">
        <x:f>O894-Q894</x:f>
        <x:v>2819</x:v>
      </x:c>
      <x:c r="S894" s="28" t="n">
        <x:f>IF(O894=0,0,R894/O894)</x:f>
        <x:v>0.11690789200846016</x:v>
      </x:c>
      <x:c r="T894" s="25" t="str">
        <x:v>Digital Wallet</x:v>
      </x:c>
      <x:c r="U894" s="25" t="str">
        <x:v>Completed</x:v>
      </x:c>
      <x:c r="V894" s="29" t="n">
        <x:v>5</x:v>
      </x:c>
    </x:row>
    <x:row r="895">
      <x:c r="A895" s="23" t="str">
        <x:v>MAN-2025-00894</x:v>
      </x:c>
      <x:c r="B895" s="24" t="n">
        <x:v>45801</x:v>
      </x:c>
      <x:c r="C895" s="25" t="str">
        <x:v>Mansoura</x:v>
      </x:c>
      <x:c r="D895" s="25" t="str">
        <x:v>Mit Ghamr</x:v>
      </x:c>
      <x:c r="E895" s="25" t="str">
        <x:v>Youssef Fathy</x:v>
      </x:c>
      <x:c r="F895" s="25" t="str">
        <x:v>Amr Mansour</x:v>
      </x:c>
      <x:c r="G895" s="25" t="str">
        <x:v>Small Business</x:v>
      </x:c>
      <x:c r="H895" s="25" t="str">
        <x:v>Phone Order</x:v>
      </x:c>
      <x:c r="I895" s="25" t="str">
        <x:v>Electronics</x:v>
      </x:c>
      <x:c r="J895" s="25" t="str">
        <x:v>Laptop</x:v>
      </x:c>
      <x:c r="K895" s="25" t="n">
        <x:v>4</x:v>
      </x:c>
      <x:c r="L895" s="26" t="n">
        <x:v>23844</x:v>
      </x:c>
      <x:c r="M895" s="27" t="n">
        <x:v>0.05</x:v>
      </x:c>
      <x:c r="N895" s="26" t="n">
        <x:f>K895*L895</x:f>
        <x:v>95376</x:v>
      </x:c>
      <x:c r="O895" s="26" t="n">
        <x:f>N895*(1-M895)</x:f>
        <x:v>90607.2</x:v>
      </x:c>
      <x:c r="P895" s="26" t="n">
        <x:v>20818</x:v>
      </x:c>
      <x:c r="Q895" s="26" t="n">
        <x:f>K895*P895</x:f>
        <x:v>83272</x:v>
      </x:c>
      <x:c r="R895" s="26" t="n">
        <x:f>O895-Q895</x:f>
        <x:v>7335.199999999997</x:v>
      </x:c>
      <x:c r="S895" s="28" t="n">
        <x:f>IF(O895=0,0,R895/O895)</x:f>
        <x:v>0.08095603881369248</x:v>
      </x:c>
      <x:c r="T895" s="25" t="str">
        <x:v>Digital Wallet</x:v>
      </x:c>
      <x:c r="U895" s="25" t="str">
        <x:v>Completed</x:v>
      </x:c>
      <x:c r="V895" s="29" t="n">
        <x:v>5</x:v>
      </x:c>
    </x:row>
    <x:row r="896">
      <x:c r="A896" s="23" t="str">
        <x:v>MAN-2025-00895</x:v>
      </x:c>
      <x:c r="B896" s="24" t="n">
        <x:v>46005</x:v>
      </x:c>
      <x:c r="C896" s="25" t="str">
        <x:v>Mansoura</x:v>
      </x:c>
      <x:c r="D896" s="25" t="str">
        <x:v>Sherbin</x:v>
      </x:c>
      <x:c r="E896" s="25" t="str">
        <x:v>Salma Mansour</x:v>
      </x:c>
      <x:c r="F896" s="25" t="str">
        <x:v>Mariam Hassan</x:v>
      </x:c>
      <x:c r="G896" s="25" t="str">
        <x:v>Corporate</x:v>
      </x:c>
      <x:c r="H896" s="25" t="str">
        <x:v>Retail Store</x:v>
      </x:c>
      <x:c r="I896" s="25" t="str">
        <x:v>Furniture</x:v>
      </x:c>
      <x:c r="J896" s="25" t="str">
        <x:v>Bookshelf</x:v>
      </x:c>
      <x:c r="K896" s="25" t="n">
        <x:v>3</x:v>
      </x:c>
      <x:c r="L896" s="26" t="n">
        <x:v>2826</x:v>
      </x:c>
      <x:c r="M896" s="27" t="n">
        <x:v>0</x:v>
      </x:c>
      <x:c r="N896" s="26" t="n">
        <x:f>K896*L896</x:f>
        <x:v>8478</x:v>
      </x:c>
      <x:c r="O896" s="26" t="n">
        <x:f>N896*(1-M896)</x:f>
        <x:v>8478</x:v>
      </x:c>
      <x:c r="P896" s="26" t="n">
        <x:v>2278</x:v>
      </x:c>
      <x:c r="Q896" s="26" t="n">
        <x:f>K896*P896</x:f>
        <x:v>6834</x:v>
      </x:c>
      <x:c r="R896" s="26" t="n">
        <x:f>O896-Q896</x:f>
        <x:v>1644</x:v>
      </x:c>
      <x:c r="S896" s="28" t="n">
        <x:f>IF(O896=0,0,R896/O896)</x:f>
        <x:v>0.19391365888181175</x:v>
      </x:c>
      <x:c r="T896" s="25" t="str">
        <x:v>Credit Card</x:v>
      </x:c>
      <x:c r="U896" s="25" t="str">
        <x:v>Completed</x:v>
      </x:c>
      <x:c r="V896" s="29" t="n">
        <x:v>4</x:v>
      </x:c>
    </x:row>
    <x:row r="897">
      <x:c r="A897" s="23" t="str">
        <x:v>MAN-2025-00896</x:v>
      </x:c>
      <x:c r="B897" s="24" t="n">
        <x:v>45819</x:v>
      </x:c>
      <x:c r="C897" s="25" t="str">
        <x:v>Mansoura</x:v>
      </x:c>
      <x:c r="D897" s="25" t="str">
        <x:v>Sherbin</x:v>
      </x:c>
      <x:c r="E897" s="25" t="str">
        <x:v>Youssef Fathy</x:v>
      </x:c>
      <x:c r="F897" s="25" t="str">
        <x:v>Youssef Tarek</x:v>
      </x:c>
      <x:c r="G897" s="25" t="str">
        <x:v>Consumer</x:v>
      </x:c>
      <x:c r="H897" s="25" t="str">
        <x:v>Retail Store</x:v>
      </x:c>
      <x:c r="I897" s="25" t="str">
        <x:v>Home Appliances</x:v>
      </x:c>
      <x:c r="J897" s="25" t="str">
        <x:v>Air Conditioner</x:v>
      </x:c>
      <x:c r="K897" s="25" t="n">
        <x:v>5</x:v>
      </x:c>
      <x:c r="L897" s="26" t="n">
        <x:v>20511</x:v>
      </x:c>
      <x:c r="M897" s="27" t="n">
        <x:v>0.1</x:v>
      </x:c>
      <x:c r="N897" s="26" t="n">
        <x:f>K897*L897</x:f>
        <x:v>102555</x:v>
      </x:c>
      <x:c r="O897" s="26" t="n">
        <x:f>N897*(1-M897)</x:f>
        <x:v>92299.5</x:v>
      </x:c>
      <x:c r="P897" s="26" t="n">
        <x:v>18313</x:v>
      </x:c>
      <x:c r="Q897" s="26" t="n">
        <x:f>K897*P897</x:f>
        <x:v>91565</x:v>
      </x:c>
      <x:c r="R897" s="26" t="n">
        <x:f>O897-Q897</x:f>
        <x:v>734.5</x:v>
      </x:c>
      <x:c r="S897" s="28" t="n">
        <x:f>IF(O897=0,0,R897/O897)</x:f>
        <x:v>0.007957789587159194</x:v>
      </x:c>
      <x:c r="T897" s="25" t="str">
        <x:v>Debit Card</x:v>
      </x:c>
      <x:c r="U897" s="25" t="str">
        <x:v>Cancelled</x:v>
      </x:c>
      <x:c r="V897" s="29" t="n">
        <x:v>5</x:v>
      </x:c>
    </x:row>
    <x:row r="898">
      <x:c r="A898" s="23" t="str">
        <x:v>MAN-2025-00897</x:v>
      </x:c>
      <x:c r="B898" s="24" t="n">
        <x:v>45849</x:v>
      </x:c>
      <x:c r="C898" s="25" t="str">
        <x:v>Mansoura</x:v>
      </x:c>
      <x:c r="D898" s="25" t="str">
        <x:v>Mit Ghamr</x:v>
      </x:c>
      <x:c r="E898" s="25" t="str">
        <x:v>Ali Sayed</x:v>
      </x:c>
      <x:c r="F898" s="25" t="str">
        <x:v>Omar Khalil</x:v>
      </x:c>
      <x:c r="G898" s="25" t="str">
        <x:v>Small Business</x:v>
      </x:c>
      <x:c r="H898" s="25" t="str">
        <x:v>Mobile App</x:v>
      </x:c>
      <x:c r="I898" s="25" t="str">
        <x:v>Furniture</x:v>
      </x:c>
      <x:c r="J898" s="25" t="str">
        <x:v>Office Chair</x:v>
      </x:c>
      <x:c r="K898" s="25" t="n">
        <x:v>6</x:v>
      </x:c>
      <x:c r="L898" s="26" t="n">
        <x:v>3721</x:v>
      </x:c>
      <x:c r="M898" s="27" t="n">
        <x:v>0</x:v>
      </x:c>
      <x:c r="N898" s="26" t="n">
        <x:f>K898*L898</x:f>
        <x:v>22326</x:v>
      </x:c>
      <x:c r="O898" s="26" t="n">
        <x:f>N898*(1-M898)</x:f>
        <x:v>22326</x:v>
      </x:c>
      <x:c r="P898" s="26" t="n">
        <x:v>2951</x:v>
      </x:c>
      <x:c r="Q898" s="26" t="n">
        <x:f>K898*P898</x:f>
        <x:v>17706</x:v>
      </x:c>
      <x:c r="R898" s="26" t="n">
        <x:f>O898-Q898</x:f>
        <x:v>4620</x:v>
      </x:c>
      <x:c r="S898" s="28" t="n">
        <x:f>IF(O898=0,0,R898/O898)</x:f>
        <x:v>0.2069336199946251</x:v>
      </x:c>
      <x:c r="T898" s="25" t="str">
        <x:v>Credit Card</x:v>
      </x:c>
      <x:c r="U898" s="25" t="str">
        <x:v>Completed</x:v>
      </x:c>
      <x:c r="V898" s="29" t="n">
        <x:v>4</x:v>
      </x:c>
    </x:row>
    <x:row r="899">
      <x:c r="A899" s="23" t="str">
        <x:v>MAN-2025-00898</x:v>
      </x:c>
      <x:c r="B899" s="24" t="n">
        <x:v>45816</x:v>
      </x:c>
      <x:c r="C899" s="25" t="str">
        <x:v>Mansoura</x:v>
      </x:c>
      <x:c r="D899" s="25" t="str">
        <x:v>Sherbin</x:v>
      </x:c>
      <x:c r="E899" s="25" t="str">
        <x:v>Ali Sayed</x:v>
      </x:c>
      <x:c r="F899" s="25" t="str">
        <x:v>Omar Hassan</x:v>
      </x:c>
      <x:c r="G899" s="25" t="str">
        <x:v>Small Business</x:v>
      </x:c>
      <x:c r="H899" s="25" t="str">
        <x:v>Retail Store</x:v>
      </x:c>
      <x:c r="I899" s="25" t="str">
        <x:v>Furniture</x:v>
      </x:c>
      <x:c r="J899" s="25" t="str">
        <x:v>Desk</x:v>
      </x:c>
      <x:c r="K899" s="25" t="n">
        <x:v>1</x:v>
      </x:c>
      <x:c r="L899" s="26" t="n">
        <x:v>5372</x:v>
      </x:c>
      <x:c r="M899" s="27" t="n">
        <x:v>0.05</x:v>
      </x:c>
      <x:c r="N899" s="26" t="n">
        <x:f>K899*L899</x:f>
        <x:v>5372</x:v>
      </x:c>
      <x:c r="O899" s="26" t="n">
        <x:f>N899*(1-M899)</x:f>
        <x:v>5103.4</x:v>
      </x:c>
      <x:c r="P899" s="26" t="n">
        <x:v>3985</x:v>
      </x:c>
      <x:c r="Q899" s="26" t="n">
        <x:f>K899*P899</x:f>
        <x:v>3985</x:v>
      </x:c>
      <x:c r="R899" s="26" t="n">
        <x:f>O899-Q899</x:f>
        <x:v>1118.3999999999996</x:v>
      </x:c>
      <x:c r="S899" s="28" t="n">
        <x:f>IF(O899=0,0,R899/O899)</x:f>
        <x:v>0.21914801896774694</x:v>
      </x:c>
      <x:c r="T899" s="25" t="str">
        <x:v>Credit Card</x:v>
      </x:c>
      <x:c r="U899" s="25" t="str">
        <x:v>Completed</x:v>
      </x:c>
      <x:c r="V899" s="29" t="n">
        <x:v>5</x:v>
      </x:c>
    </x:row>
    <x:row r="900">
      <x:c r="A900" s="23" t="str">
        <x:v>MAN-2025-00899</x:v>
      </x:c>
      <x:c r="B900" s="24" t="n">
        <x:v>45910</x:v>
      </x:c>
      <x:c r="C900" s="25" t="str">
        <x:v>Mansoura</x:v>
      </x:c>
      <x:c r="D900" s="25" t="str">
        <x:v>Sherbin</x:v>
      </x:c>
      <x:c r="E900" s="25" t="str">
        <x:v>Youssef Fathy</x:v>
      </x:c>
      <x:c r="F900" s="25" t="str">
        <x:v>Mohamed Sayed</x:v>
      </x:c>
      <x:c r="G900" s="25" t="str">
        <x:v>Corporate</x:v>
      </x:c>
      <x:c r="H900" s="25" t="str">
        <x:v>Website</x:v>
      </x:c>
      <x:c r="I900" s="25" t="str">
        <x:v>Electronics</x:v>
      </x:c>
      <x:c r="J900" s="25" t="str">
        <x:v>Smartphone</x:v>
      </x:c>
      <x:c r="K900" s="25" t="n">
        <x:v>4</x:v>
      </x:c>
      <x:c r="L900" s="26" t="n">
        <x:v>12207</x:v>
      </x:c>
      <x:c r="M900" s="27" t="n">
        <x:v>0.15</x:v>
      </x:c>
      <x:c r="N900" s="26" t="n">
        <x:f>K900*L900</x:f>
        <x:v>48828</x:v>
      </x:c>
      <x:c r="O900" s="26" t="n">
        <x:f>N900*(1-M900)</x:f>
        <x:v>41503.799999999996</x:v>
      </x:c>
      <x:c r="P900" s="26" t="n">
        <x:v>10907</x:v>
      </x:c>
      <x:c r="Q900" s="26" t="n">
        <x:f>K900*P900</x:f>
        <x:v>43628</x:v>
      </x:c>
      <x:c r="R900" s="26" t="n">
        <x:f>O900-Q900</x:f>
        <x:v>-2124.2000000000044</x:v>
      </x:c>
      <x:c r="S900" s="28" t="n">
        <x:f>IF(O900=0,0,R900/O900)</x:f>
        <x:v>-0.05118085572887313</x:v>
      </x:c>
      <x:c r="T900" s="25" t="str">
        <x:v>Digital Wallet</x:v>
      </x:c>
      <x:c r="U900" s="25" t="str">
        <x:v>Completed</x:v>
      </x:c>
      <x:c r="V900" s="29" t="n">
        <x:v>4</x:v>
      </x:c>
    </x:row>
    <x:row r="901">
      <x:c r="A901" s="23" t="str">
        <x:v>MAN-2025-00900</x:v>
      </x:c>
      <x:c r="B901" s="24" t="n">
        <x:v>45928</x:v>
      </x:c>
      <x:c r="C901" s="25" t="str">
        <x:v>Mansoura</x:v>
      </x:c>
      <x:c r="D901" s="25" t="str">
        <x:v>Talkha</x:v>
      </x:c>
      <x:c r="E901" s="25" t="str">
        <x:v>Salma Mansour</x:v>
      </x:c>
      <x:c r="F901" s="25" t="str">
        <x:v>Farah Ibrahim</x:v>
      </x:c>
      <x:c r="G901" s="25" t="str">
        <x:v>Corporate</x:v>
      </x:c>
      <x:c r="H901" s="25" t="str">
        <x:v>Phone Order</x:v>
      </x:c>
      <x:c r="I901" s="25" t="str">
        <x:v>Office Supplies</x:v>
      </x:c>
      <x:c r="J901" s="25" t="str">
        <x:v>Calculator</x:v>
      </x:c>
      <x:c r="K901" s="25" t="n">
        <x:v>4</x:v>
      </x:c>
      <x:c r="L901" s="26" t="n">
        <x:v>414</x:v>
      </x:c>
      <x:c r="M901" s="27" t="n">
        <x:v>0</x:v>
      </x:c>
      <x:c r="N901" s="26" t="n">
        <x:f>K901*L901</x:f>
        <x:v>1656</x:v>
      </x:c>
      <x:c r="O901" s="26" t="n">
        <x:f>N901*(1-M901)</x:f>
        <x:v>1656</x:v>
      </x:c>
      <x:c r="P901" s="26" t="n">
        <x:v>283</x:v>
      </x:c>
      <x:c r="Q901" s="26" t="n">
        <x:f>K901*P901</x:f>
        <x:v>1132</x:v>
      </x:c>
      <x:c r="R901" s="26" t="n">
        <x:f>O901-Q901</x:f>
        <x:v>524</x:v>
      </x:c>
      <x:c r="S901" s="28" t="n">
        <x:f>IF(O901=0,0,R901/O901)</x:f>
        <x:v>0.3164251207729469</x:v>
      </x:c>
      <x:c r="T901" s="25" t="str">
        <x:v>Bank Transfer</x:v>
      </x:c>
      <x:c r="U901" s="25" t="str">
        <x:v>Completed</x:v>
      </x:c>
      <x:c r="V901" s="29" t="n">
        <x:v>4</x:v>
      </x:c>
    </x:row>
    <x:row r="902">
      <x:c r="A902" s="23" t="str">
        <x:v>MAN-2025-00901</x:v>
      </x:c>
      <x:c r="B902" s="24" t="n">
        <x:v>45970</x:v>
      </x:c>
      <x:c r="C902" s="25" t="str">
        <x:v>Mansoura</x:v>
      </x:c>
      <x:c r="D902" s="25" t="str">
        <x:v>Aga</x:v>
      </x:c>
      <x:c r="E902" s="25" t="str">
        <x:v>Ali Sayed</x:v>
      </x:c>
      <x:c r="F902" s="25" t="str">
        <x:v>Aya Nasser</x:v>
      </x:c>
      <x:c r="G902" s="25" t="str">
        <x:v>Corporate</x:v>
      </x:c>
      <x:c r="H902" s="25" t="str">
        <x:v>Retail Store</x:v>
      </x:c>
      <x:c r="I902" s="25" t="str">
        <x:v>Electronics</x:v>
      </x:c>
      <x:c r="J902" s="25" t="str">
        <x:v>Laptop</x:v>
      </x:c>
      <x:c r="K902" s="25" t="n">
        <x:v>2</x:v>
      </x:c>
      <x:c r="L902" s="26" t="n">
        <x:v>24063</x:v>
      </x:c>
      <x:c r="M902" s="27" t="n">
        <x:v>0.05</x:v>
      </x:c>
      <x:c r="N902" s="26" t="n">
        <x:f>K902*L902</x:f>
        <x:v>48126</x:v>
      </x:c>
      <x:c r="O902" s="26" t="n">
        <x:f>N902*(1-M902)</x:f>
        <x:v>45719.7</x:v>
      </x:c>
      <x:c r="P902" s="26" t="n">
        <x:v>20682</x:v>
      </x:c>
      <x:c r="Q902" s="26" t="n">
        <x:f>K902*P902</x:f>
        <x:v>41364</x:v>
      </x:c>
      <x:c r="R902" s="26" t="n">
        <x:f>O902-Q902</x:f>
        <x:v>4355.699999999997</x:v>
      </x:c>
      <x:c r="S902" s="28" t="n">
        <x:f>IF(O902=0,0,R902/O902)</x:f>
        <x:v>0.09526965400035428</x:v>
      </x:c>
      <x:c r="T902" s="25" t="str">
        <x:v>Debit Card</x:v>
      </x:c>
      <x:c r="U902" s="25" t="str">
        <x:v>Cancelled</x:v>
      </x:c>
      <x:c r="V902" s="29" t="n">
        <x:v>3</x:v>
      </x:c>
    </x:row>
    <x:row r="903">
      <x:c r="A903" s="23" t="str">
        <x:v>MAN-2025-00902</x:v>
      </x:c>
      <x:c r="B903" s="24" t="n">
        <x:v>45677</x:v>
      </x:c>
      <x:c r="C903" s="25" t="str">
        <x:v>Mansoura</x:v>
      </x:c>
      <x:c r="D903" s="25" t="str">
        <x:v>Sherbin</x:v>
      </x:c>
      <x:c r="E903" s="25" t="str">
        <x:v>Youssef Fathy</x:v>
      </x:c>
      <x:c r="F903" s="25" t="str">
        <x:v>Youssef Mansour</x:v>
      </x:c>
      <x:c r="G903" s="25" t="str">
        <x:v>Consumer</x:v>
      </x:c>
      <x:c r="H903" s="25" t="str">
        <x:v>Phone Order</x:v>
      </x:c>
      <x:c r="I903" s="25" t="str">
        <x:v>Home Appliances</x:v>
      </x:c>
      <x:c r="J903" s="25" t="str">
        <x:v>Microwave</x:v>
      </x:c>
      <x:c r="K903" s="25" t="n">
        <x:v>5</x:v>
      </x:c>
      <x:c r="L903" s="26" t="n">
        <x:v>5442</x:v>
      </x:c>
      <x:c r="M903" s="27" t="n">
        <x:v>0.1</x:v>
      </x:c>
      <x:c r="N903" s="26" t="n">
        <x:f>K903*L903</x:f>
        <x:v>27210</x:v>
      </x:c>
      <x:c r="O903" s="26" t="n">
        <x:f>N903*(1-M903)</x:f>
        <x:v>24489</x:v>
      </x:c>
      <x:c r="P903" s="26" t="n">
        <x:v>4436</x:v>
      </x:c>
      <x:c r="Q903" s="26" t="n">
        <x:f>K903*P903</x:f>
        <x:v>22180</x:v>
      </x:c>
      <x:c r="R903" s="26" t="n">
        <x:f>O903-Q903</x:f>
        <x:v>2309</x:v>
      </x:c>
      <x:c r="S903" s="28" t="n">
        <x:f>IF(O903=0,0,R903/O903)</x:f>
        <x:v>0.09428723100167422</x:v>
      </x:c>
      <x:c r="T903" s="25" t="str">
        <x:v>Cash</x:v>
      </x:c>
      <x:c r="U903" s="25" t="str">
        <x:v>Completed</x:v>
      </x:c>
      <x:c r="V903" s="29" t="n">
        <x:v>4</x:v>
      </x:c>
    </x:row>
    <x:row r="904">
      <x:c r="A904" s="23" t="str">
        <x:v>MAN-2025-00903</x:v>
      </x:c>
      <x:c r="B904" s="24" t="n">
        <x:v>45901</x:v>
      </x:c>
      <x:c r="C904" s="25" t="str">
        <x:v>Mansoura</x:v>
      </x:c>
      <x:c r="D904" s="25" t="str">
        <x:v>Mansoura City</x:v>
      </x:c>
      <x:c r="E904" s="25" t="str">
        <x:v>Salma Mansour</x:v>
      </x:c>
      <x:c r="F904" s="25" t="str">
        <x:v>Hana Khalil</x:v>
      </x:c>
      <x:c r="G904" s="25" t="str">
        <x:v>Consumer</x:v>
      </x:c>
      <x:c r="H904" s="25" t="str">
        <x:v>Mobile App</x:v>
      </x:c>
      <x:c r="I904" s="25" t="str">
        <x:v>Office Supplies</x:v>
      </x:c>
      <x:c r="J904" s="25" t="str">
        <x:v>Printer</x:v>
      </x:c>
      <x:c r="K904" s="25" t="n">
        <x:v>1</x:v>
      </x:c>
      <x:c r="L904" s="26" t="n">
        <x:v>6622</x:v>
      </x:c>
      <x:c r="M904" s="27" t="n">
        <x:v>0.05</x:v>
      </x:c>
      <x:c r="N904" s="26" t="n">
        <x:f>K904*L904</x:f>
        <x:v>6622</x:v>
      </x:c>
      <x:c r="O904" s="26" t="n">
        <x:f>N904*(1-M904)</x:f>
        <x:v>6290.9</x:v>
      </x:c>
      <x:c r="P904" s="26" t="n">
        <x:v>5476</x:v>
      </x:c>
      <x:c r="Q904" s="26" t="n">
        <x:f>K904*P904</x:f>
        <x:v>5476</x:v>
      </x:c>
      <x:c r="R904" s="26" t="n">
        <x:f>O904-Q904</x:f>
        <x:v>814.8999999999996</x:v>
      </x:c>
      <x:c r="S904" s="28" t="n">
        <x:f>IF(O904=0,0,R904/O904)</x:f>
        <x:v>0.12953631435883572</x:v>
      </x:c>
      <x:c r="T904" s="25" t="str">
        <x:v>Digital Wallet</x:v>
      </x:c>
      <x:c r="U904" s="25" t="str">
        <x:v>Cancelled</x:v>
      </x:c>
      <x:c r="V904" s="29" t="n">
        <x:v>4</x:v>
      </x:c>
    </x:row>
    <x:row r="905">
      <x:c r="A905" s="23" t="str">
        <x:v>MAN-2025-00904</x:v>
      </x:c>
      <x:c r="B905" s="24" t="n">
        <x:v>45925</x:v>
      </x:c>
      <x:c r="C905" s="25" t="str">
        <x:v>Mansoura</x:v>
      </x:c>
      <x:c r="D905" s="25" t="str">
        <x:v>Aga</x:v>
      </x:c>
      <x:c r="E905" s="25" t="str">
        <x:v>Aya Farouk</x:v>
      </x:c>
      <x:c r="F905" s="25" t="str">
        <x:v>Hana Sayed</x:v>
      </x:c>
      <x:c r="G905" s="25" t="str">
        <x:v>Corporate</x:v>
      </x:c>
      <x:c r="H905" s="25" t="str">
        <x:v>Retail Store</x:v>
      </x:c>
      <x:c r="I905" s="25" t="str">
        <x:v>Office Supplies</x:v>
      </x:c>
      <x:c r="J905" s="25" t="str">
        <x:v>Paper Box</x:v>
      </x:c>
      <x:c r="K905" s="25" t="n">
        <x:v>6</x:v>
      </x:c>
      <x:c r="L905" s="26" t="n">
        <x:v>380</x:v>
      </x:c>
      <x:c r="M905" s="27" t="n">
        <x:v>0.05</x:v>
      </x:c>
      <x:c r="N905" s="26" t="n">
        <x:f>K905*L905</x:f>
        <x:v>2280</x:v>
      </x:c>
      <x:c r="O905" s="26" t="n">
        <x:f>N905*(1-M905)</x:f>
        <x:v>2166</x:v>
      </x:c>
      <x:c r="P905" s="26" t="n">
        <x:v>267</x:v>
      </x:c>
      <x:c r="Q905" s="26" t="n">
        <x:f>K905*P905</x:f>
        <x:v>1602</x:v>
      </x:c>
      <x:c r="R905" s="26" t="n">
        <x:f>O905-Q905</x:f>
        <x:v>564</x:v>
      </x:c>
      <x:c r="S905" s="28" t="n">
        <x:f>IF(O905=0,0,R905/O905)</x:f>
        <x:v>0.26038781163434904</x:v>
      </x:c>
      <x:c r="T905" s="25" t="str">
        <x:v>Digital Wallet</x:v>
      </x:c>
      <x:c r="U905" s="25" t="str">
        <x:v>Cancelled</x:v>
      </x:c>
      <x:c r="V905" s="29" t="n">
        <x:v>4</x:v>
      </x:c>
    </x:row>
    <x:row r="906">
      <x:c r="A906" s="23" t="str">
        <x:v>MAN-2025-00905</x:v>
      </x:c>
      <x:c r="B906" s="24" t="n">
        <x:v>45713</x:v>
      </x:c>
      <x:c r="C906" s="25" t="str">
        <x:v>Mansoura</x:v>
      </x:c>
      <x:c r="D906" s="25" t="str">
        <x:v>Sherbin</x:v>
      </x:c>
      <x:c r="E906" s="25" t="str">
        <x:v>Youssef Fathy</x:v>
      </x:c>
      <x:c r="F906" s="25" t="str">
        <x:v>Mohamed Khalil</x:v>
      </x:c>
      <x:c r="G906" s="25" t="str">
        <x:v>Consumer</x:v>
      </x:c>
      <x:c r="H906" s="25" t="str">
        <x:v>Website</x:v>
      </x:c>
      <x:c r="I906" s="25" t="str">
        <x:v>Furniture</x:v>
      </x:c>
      <x:c r="J906" s="25" t="str">
        <x:v>Desk</x:v>
      </x:c>
      <x:c r="K906" s="25" t="n">
        <x:v>3</x:v>
      </x:c>
      <x:c r="L906" s="26" t="n">
        <x:v>4930</x:v>
      </x:c>
      <x:c r="M906" s="27" t="n">
        <x:v>0.05</x:v>
      </x:c>
      <x:c r="N906" s="26" t="n">
        <x:f>K906*L906</x:f>
        <x:v>14790</x:v>
      </x:c>
      <x:c r="O906" s="26" t="n">
        <x:f>N906*(1-M906)</x:f>
        <x:v>14050.5</x:v>
      </x:c>
      <x:c r="P906" s="26" t="n">
        <x:v>3871</x:v>
      </x:c>
      <x:c r="Q906" s="26" t="n">
        <x:f>K906*P906</x:f>
        <x:v>11613</x:v>
      </x:c>
      <x:c r="R906" s="26" t="n">
        <x:f>O906-Q906</x:f>
        <x:v>2437.5</x:v>
      </x:c>
      <x:c r="S906" s="28" t="n">
        <x:f>IF(O906=0,0,R906/O906)</x:f>
        <x:v>0.1734813707697235</x:v>
      </x:c>
      <x:c r="T906" s="25" t="str">
        <x:v>Digital Wallet</x:v>
      </x:c>
      <x:c r="U906" s="25" t="str">
        <x:v>Returned</x:v>
      </x:c>
      <x:c r="V906" s="29" t="n">
        <x:v>5</x:v>
      </x:c>
    </x:row>
    <x:row r="907">
      <x:c r="A907" s="23" t="str">
        <x:v>MAN-2025-00906</x:v>
      </x:c>
      <x:c r="B907" s="24" t="n">
        <x:v>45870</x:v>
      </x:c>
      <x:c r="C907" s="25" t="str">
        <x:v>Mansoura</x:v>
      </x:c>
      <x:c r="D907" s="25" t="str">
        <x:v>Sherbin</x:v>
      </x:c>
      <x:c r="E907" s="25" t="str">
        <x:v>Aya Farouk</x:v>
      </x:c>
      <x:c r="F907" s="25" t="str">
        <x:v>Salma Samir</x:v>
      </x:c>
      <x:c r="G907" s="25" t="str">
        <x:v>Corporate</x:v>
      </x:c>
      <x:c r="H907" s="25" t="str">
        <x:v>Retail Store</x:v>
      </x:c>
      <x:c r="I907" s="25" t="str">
        <x:v>Office Supplies</x:v>
      </x:c>
      <x:c r="J907" s="25" t="str">
        <x:v>Paper Box</x:v>
      </x:c>
      <x:c r="K907" s="25" t="n">
        <x:v>4</x:v>
      </x:c>
      <x:c r="L907" s="26" t="n">
        <x:v>369</x:v>
      </x:c>
      <x:c r="M907" s="27" t="n">
        <x:v>0.1</x:v>
      </x:c>
      <x:c r="N907" s="26" t="n">
        <x:f>K907*L907</x:f>
        <x:v>1476</x:v>
      </x:c>
      <x:c r="O907" s="26" t="n">
        <x:f>N907*(1-M907)</x:f>
        <x:v>1328.4</x:v>
      </x:c>
      <x:c r="P907" s="26" t="n">
        <x:v>262</x:v>
      </x:c>
      <x:c r="Q907" s="26" t="n">
        <x:f>K907*P907</x:f>
        <x:v>1048</x:v>
      </x:c>
      <x:c r="R907" s="26" t="n">
        <x:f>O907-Q907</x:f>
        <x:v>280.4000000000001</x:v>
      </x:c>
      <x:c r="S907" s="28" t="n">
        <x:f>IF(O907=0,0,R907/O907)</x:f>
        <x:v>0.21108099969888594</x:v>
      </x:c>
      <x:c r="T907" s="25" t="str">
        <x:v>Bank Transfer</x:v>
      </x:c>
      <x:c r="U907" s="25" t="str">
        <x:v>Cancelled</x:v>
      </x:c>
      <x:c r="V907" s="29" t="n">
        <x:v>4</x:v>
      </x:c>
    </x:row>
    <x:row r="908">
      <x:c r="A908" s="23" t="str">
        <x:v>MAN-2025-00907</x:v>
      </x:c>
      <x:c r="B908" s="24" t="n">
        <x:v>45917</x:v>
      </x:c>
      <x:c r="C908" s="25" t="str">
        <x:v>Mansoura</x:v>
      </x:c>
      <x:c r="D908" s="25" t="str">
        <x:v>Talkha</x:v>
      </x:c>
      <x:c r="E908" s="25" t="str">
        <x:v>Salma Mansour</x:v>
      </x:c>
      <x:c r="F908" s="25" t="str">
        <x:v>Aya Farouk</x:v>
      </x:c>
      <x:c r="G908" s="25" t="str">
        <x:v>Corporate</x:v>
      </x:c>
      <x:c r="H908" s="25" t="str">
        <x:v>Retail Store</x:v>
      </x:c>
      <x:c r="I908" s="25" t="str">
        <x:v>Office Supplies</x:v>
      </x:c>
      <x:c r="J908" s="25" t="str">
        <x:v>Printer</x:v>
      </x:c>
      <x:c r="K908" s="25" t="n">
        <x:v>5</x:v>
      </x:c>
      <x:c r="L908" s="26" t="n">
        <x:v>6262</x:v>
      </x:c>
      <x:c r="M908" s="27" t="n">
        <x:v>0</x:v>
      </x:c>
      <x:c r="N908" s="26" t="n">
        <x:f>K908*L908</x:f>
        <x:v>31310</x:v>
      </x:c>
      <x:c r="O908" s="26" t="n">
        <x:f>N908*(1-M908)</x:f>
        <x:v>31310</x:v>
      </x:c>
      <x:c r="P908" s="26" t="n">
        <x:v>5519</x:v>
      </x:c>
      <x:c r="Q908" s="26" t="n">
        <x:f>K908*P908</x:f>
        <x:v>27595</x:v>
      </x:c>
      <x:c r="R908" s="26" t="n">
        <x:f>O908-Q908</x:f>
        <x:v>3715</x:v>
      </x:c>
      <x:c r="S908" s="28" t="n">
        <x:f>IF(O908=0,0,R908/O908)</x:f>
        <x:v>0.1186521877994251</x:v>
      </x:c>
      <x:c r="T908" s="25" t="str">
        <x:v>Bank Transfer</x:v>
      </x:c>
      <x:c r="U908" s="25" t="str">
        <x:v>Completed</x:v>
      </x:c>
      <x:c r="V908" s="29" t="n">
        <x:v>5</x:v>
      </x:c>
    </x:row>
    <x:row r="909">
      <x:c r="A909" s="23" t="str">
        <x:v>MAN-2025-00908</x:v>
      </x:c>
      <x:c r="B909" s="24" t="n">
        <x:v>45805</x:v>
      </x:c>
      <x:c r="C909" s="25" t="str">
        <x:v>Mansoura</x:v>
      </x:c>
      <x:c r="D909" s="25" t="str">
        <x:v>Talkha</x:v>
      </x:c>
      <x:c r="E909" s="25" t="str">
        <x:v>Youssef Fathy</x:v>
      </x:c>
      <x:c r="F909" s="25" t="str">
        <x:v>Mariam Ibrahim</x:v>
      </x:c>
      <x:c r="G909" s="25" t="str">
        <x:v>Consumer</x:v>
      </x:c>
      <x:c r="H909" s="25" t="str">
        <x:v>Retail Store</x:v>
      </x:c>
      <x:c r="I909" s="25" t="str">
        <x:v>Home Appliances</x:v>
      </x:c>
      <x:c r="J909" s="25" t="str">
        <x:v>Washing Machine</x:v>
      </x:c>
      <x:c r="K909" s="25" t="n">
        <x:v>2</x:v>
      </x:c>
      <x:c r="L909" s="26" t="n">
        <x:v>16959</x:v>
      </x:c>
      <x:c r="M909" s="27" t="n">
        <x:v>0.15</x:v>
      </x:c>
      <x:c r="N909" s="26" t="n">
        <x:f>K909*L909</x:f>
        <x:v>33918</x:v>
      </x:c>
      <x:c r="O909" s="26" t="n">
        <x:f>N909*(1-M909)</x:f>
        <x:v>28830.3</x:v>
      </x:c>
      <x:c r="P909" s="26" t="n">
        <x:v>13832</x:v>
      </x:c>
      <x:c r="Q909" s="26" t="n">
        <x:f>K909*P909</x:f>
        <x:v>27664</x:v>
      </x:c>
      <x:c r="R909" s="26" t="n">
        <x:f>O909-Q909</x:f>
        <x:v>1166.2999999999993</x:v>
      </x:c>
      <x:c r="S909" s="28" t="n">
        <x:f>IF(O909=0,0,R909/O909)</x:f>
        <x:v>0.040453966833505</x:v>
      </x:c>
      <x:c r="T909" s="25" t="str">
        <x:v>Digital Wallet</x:v>
      </x:c>
      <x:c r="U909" s="25" t="str">
        <x:v>Completed</x:v>
      </x:c>
      <x:c r="V909" s="29" t="n">
        <x:v>5</x:v>
      </x:c>
    </x:row>
    <x:row r="910">
      <x:c r="A910" s="23" t="str">
        <x:v>MAN-2025-00909</x:v>
      </x:c>
      <x:c r="B910" s="24" t="n">
        <x:v>45709</x:v>
      </x:c>
      <x:c r="C910" s="25" t="str">
        <x:v>Mansoura</x:v>
      </x:c>
      <x:c r="D910" s="25" t="str">
        <x:v>Mansoura City</x:v>
      </x:c>
      <x:c r="E910" s="25" t="str">
        <x:v>Aya Farouk</x:v>
      </x:c>
      <x:c r="F910" s="25" t="str">
        <x:v>Youssef Farouk</x:v>
      </x:c>
      <x:c r="G910" s="25" t="str">
        <x:v>Consumer</x:v>
      </x:c>
      <x:c r="H910" s="25" t="str">
        <x:v>Mobile App</x:v>
      </x:c>
      <x:c r="I910" s="25" t="str">
        <x:v>Furniture</x:v>
      </x:c>
      <x:c r="J910" s="25" t="str">
        <x:v>Desk</x:v>
      </x:c>
      <x:c r="K910" s="25" t="n">
        <x:v>3</x:v>
      </x:c>
      <x:c r="L910" s="26" t="n">
        <x:v>5333</x:v>
      </x:c>
      <x:c r="M910" s="27" t="n">
        <x:v>0</x:v>
      </x:c>
      <x:c r="N910" s="26" t="n">
        <x:f>K910*L910</x:f>
        <x:v>15999</x:v>
      </x:c>
      <x:c r="O910" s="26" t="n">
        <x:f>N910*(1-M910)</x:f>
        <x:v>15999</x:v>
      </x:c>
      <x:c r="P910" s="26" t="n">
        <x:v>3928</x:v>
      </x:c>
      <x:c r="Q910" s="26" t="n">
        <x:f>K910*P910</x:f>
        <x:v>11784</x:v>
      </x:c>
      <x:c r="R910" s="26" t="n">
        <x:f>O910-Q910</x:f>
        <x:v>4215</x:v>
      </x:c>
      <x:c r="S910" s="28" t="n">
        <x:f>IF(O910=0,0,R910/O910)</x:f>
        <x:v>0.26345396587286707</x:v>
      </x:c>
      <x:c r="T910" s="25" t="str">
        <x:v>Bank Transfer</x:v>
      </x:c>
      <x:c r="U910" s="25" t="str">
        <x:v>Completed</x:v>
      </x:c>
      <x:c r="V910" s="29" t="n">
        <x:v>3</x:v>
      </x:c>
    </x:row>
    <x:row r="911">
      <x:c r="A911" s="23" t="str">
        <x:v>MAN-2025-00910</x:v>
      </x:c>
      <x:c r="B911" s="24" t="n">
        <x:v>45729</x:v>
      </x:c>
      <x:c r="C911" s="25" t="str">
        <x:v>Mansoura</x:v>
      </x:c>
      <x:c r="D911" s="25" t="str">
        <x:v>Mit Ghamr</x:v>
      </x:c>
      <x:c r="E911" s="25" t="str">
        <x:v>Ali Sayed</x:v>
      </x:c>
      <x:c r="F911" s="25" t="str">
        <x:v>Hana Nasser</x:v>
      </x:c>
      <x:c r="G911" s="25" t="str">
        <x:v>Small Business</x:v>
      </x:c>
      <x:c r="H911" s="25" t="str">
        <x:v>Mobile App</x:v>
      </x:c>
      <x:c r="I911" s="25" t="str">
        <x:v>Home Appliances</x:v>
      </x:c>
      <x:c r="J911" s="25" t="str">
        <x:v>Blender</x:v>
      </x:c>
      <x:c r="K911" s="25" t="n">
        <x:v>3</x:v>
      </x:c>
      <x:c r="L911" s="26" t="n">
        <x:v>1802</x:v>
      </x:c>
      <x:c r="M911" s="27" t="n">
        <x:v>0.05</x:v>
      </x:c>
      <x:c r="N911" s="26" t="n">
        <x:f>K911*L911</x:f>
        <x:v>5406</x:v>
      </x:c>
      <x:c r="O911" s="26" t="n">
        <x:f>N911*(1-M911)</x:f>
        <x:v>5135.7</x:v>
      </x:c>
      <x:c r="P911" s="26" t="n">
        <x:v>1233</x:v>
      </x:c>
      <x:c r="Q911" s="26" t="n">
        <x:f>K911*P911</x:f>
        <x:v>3699</x:v>
      </x:c>
      <x:c r="R911" s="26" t="n">
        <x:f>O911-Q911</x:f>
        <x:v>1436.6999999999998</x:v>
      </x:c>
      <x:c r="S911" s="28" t="n">
        <x:f>IF(O911=0,0,R911/O911)</x:f>
        <x:v>0.2797476488112623</x:v>
      </x:c>
      <x:c r="T911" s="25" t="str">
        <x:v>Cash</x:v>
      </x:c>
      <x:c r="U911" s="25" t="str">
        <x:v>Cancelled</x:v>
      </x:c>
      <x:c r="V911" s="29" t="n">
        <x:v>4</x:v>
      </x:c>
    </x:row>
    <x:row r="912">
      <x:c r="A912" s="23" t="str">
        <x:v>MAN-2025-00911</x:v>
      </x:c>
      <x:c r="B912" s="24" t="n">
        <x:v>45881</x:v>
      </x:c>
      <x:c r="C912" s="25" t="str">
        <x:v>Mansoura</x:v>
      </x:c>
      <x:c r="D912" s="25" t="str">
        <x:v>Aga</x:v>
      </x:c>
      <x:c r="E912" s="25" t="str">
        <x:v>Salma Mansour</x:v>
      </x:c>
      <x:c r="F912" s="25" t="str">
        <x:v>Youssef Tarek</x:v>
      </x:c>
      <x:c r="G912" s="25" t="str">
        <x:v>Small Business</x:v>
      </x:c>
      <x:c r="H912" s="25" t="str">
        <x:v>Website</x:v>
      </x:c>
      <x:c r="I912" s="25" t="str">
        <x:v>Furniture</x:v>
      </x:c>
      <x:c r="J912" s="25" t="str">
        <x:v>Office Chair</x:v>
      </x:c>
      <x:c r="K912" s="25" t="n">
        <x:v>4</x:v>
      </x:c>
      <x:c r="L912" s="26" t="n">
        <x:v>3594</x:v>
      </x:c>
      <x:c r="M912" s="27" t="n">
        <x:v>0</x:v>
      </x:c>
      <x:c r="N912" s="26" t="n">
        <x:f>K912*L912</x:f>
        <x:v>14376</x:v>
      </x:c>
      <x:c r="O912" s="26" t="n">
        <x:f>N912*(1-M912)</x:f>
        <x:v>14376</x:v>
      </x:c>
      <x:c r="P912" s="26" t="n">
        <x:v>2933</x:v>
      </x:c>
      <x:c r="Q912" s="26" t="n">
        <x:f>K912*P912</x:f>
        <x:v>11732</x:v>
      </x:c>
      <x:c r="R912" s="26" t="n">
        <x:f>O912-Q912</x:f>
        <x:v>2644</x:v>
      </x:c>
      <x:c r="S912" s="28" t="n">
        <x:f>IF(O912=0,0,R912/O912)</x:f>
        <x:v>0.18391764051196438</x:v>
      </x:c>
      <x:c r="T912" s="25" t="str">
        <x:v>Debit Card</x:v>
      </x:c>
      <x:c r="U912" s="25" t="str">
        <x:v>Completed</x:v>
      </x:c>
      <x:c r="V912" s="29" t="n">
        <x:v>3</x:v>
      </x:c>
    </x:row>
    <x:row r="913">
      <x:c r="A913" s="23" t="str">
        <x:v>MAN-2025-00912</x:v>
      </x:c>
      <x:c r="B913" s="24" t="n">
        <x:v>45728</x:v>
      </x:c>
      <x:c r="C913" s="25" t="str">
        <x:v>Mansoura</x:v>
      </x:c>
      <x:c r="D913" s="25" t="str">
        <x:v>Sherbin</x:v>
      </x:c>
      <x:c r="E913" s="25" t="str">
        <x:v>Youssef Fathy</x:v>
      </x:c>
      <x:c r="F913" s="25" t="str">
        <x:v>Ali Nasser</x:v>
      </x:c>
      <x:c r="G913" s="25" t="str">
        <x:v>Consumer</x:v>
      </x:c>
      <x:c r="H913" s="25" t="str">
        <x:v>Retail Store</x:v>
      </x:c>
      <x:c r="I913" s="25" t="str">
        <x:v>Home Appliances</x:v>
      </x:c>
      <x:c r="J913" s="25" t="str">
        <x:v>Air Conditioner</x:v>
      </x:c>
      <x:c r="K913" s="25" t="n">
        <x:v>2</x:v>
      </x:c>
      <x:c r="L913" s="26" t="n">
        <x:v>21335</x:v>
      </x:c>
      <x:c r="M913" s="27" t="n">
        <x:v>0</x:v>
      </x:c>
      <x:c r="N913" s="26" t="n">
        <x:f>K913*L913</x:f>
        <x:v>42670</x:v>
      </x:c>
      <x:c r="O913" s="26" t="n">
        <x:f>N913*(1-M913)</x:f>
        <x:v>42670</x:v>
      </x:c>
      <x:c r="P913" s="26" t="n">
        <x:v>18407</x:v>
      </x:c>
      <x:c r="Q913" s="26" t="n">
        <x:f>K913*P913</x:f>
        <x:v>36814</x:v>
      </x:c>
      <x:c r="R913" s="26" t="n">
        <x:f>O913-Q913</x:f>
        <x:v>5856</x:v>
      </x:c>
      <x:c r="S913" s="28" t="n">
        <x:f>IF(O913=0,0,R913/O913)</x:f>
        <x:v>0.1372392781813921</x:v>
      </x:c>
      <x:c r="T913" s="25" t="str">
        <x:v>Digital Wallet</x:v>
      </x:c>
      <x:c r="U913" s="25" t="str">
        <x:v>Completed</x:v>
      </x:c>
      <x:c r="V913" s="29" t="n">
        <x:v>4</x:v>
      </x:c>
    </x:row>
    <x:row r="914">
      <x:c r="A914" s="23" t="str">
        <x:v>MAN-2025-00913</x:v>
      </x:c>
      <x:c r="B914" s="24" t="n">
        <x:v>45721</x:v>
      </x:c>
      <x:c r="C914" s="25" t="str">
        <x:v>Mansoura</x:v>
      </x:c>
      <x:c r="D914" s="25" t="str">
        <x:v>Mit Ghamr</x:v>
      </x:c>
      <x:c r="E914" s="25" t="str">
        <x:v>Aya Farouk</x:v>
      </x:c>
      <x:c r="F914" s="25" t="str">
        <x:v>Ali Fathy</x:v>
      </x:c>
      <x:c r="G914" s="25" t="str">
        <x:v>Corporate</x:v>
      </x:c>
      <x:c r="H914" s="25" t="str">
        <x:v>Retail Store</x:v>
      </x:c>
      <x:c r="I914" s="25" t="str">
        <x:v>Office Supplies</x:v>
      </x:c>
      <x:c r="J914" s="25" t="str">
        <x:v>Printer</x:v>
      </x:c>
      <x:c r="K914" s="25" t="n">
        <x:v>3</x:v>
      </x:c>
      <x:c r="L914" s="26" t="n">
        <x:v>6272</x:v>
      </x:c>
      <x:c r="M914" s="27" t="n">
        <x:v>0</x:v>
      </x:c>
      <x:c r="N914" s="26" t="n">
        <x:f>K914*L914</x:f>
        <x:v>18816</x:v>
      </x:c>
      <x:c r="O914" s="26" t="n">
        <x:f>N914*(1-M914)</x:f>
        <x:v>18816</x:v>
      </x:c>
      <x:c r="P914" s="26" t="n">
        <x:v>5293</x:v>
      </x:c>
      <x:c r="Q914" s="26" t="n">
        <x:f>K914*P914</x:f>
        <x:v>15879</x:v>
      </x:c>
      <x:c r="R914" s="26" t="n">
        <x:f>O914-Q914</x:f>
        <x:v>2937</x:v>
      </x:c>
      <x:c r="S914" s="28" t="n">
        <x:f>IF(O914=0,0,R914/O914)</x:f>
        <x:v>0.1560905612244898</x:v>
      </x:c>
      <x:c r="T914" s="25" t="str">
        <x:v>Bank Transfer</x:v>
      </x:c>
      <x:c r="U914" s="25" t="str">
        <x:v>Completed</x:v>
      </x:c>
      <x:c r="V914" s="29" t="n">
        <x:v>5</x:v>
      </x:c>
    </x:row>
    <x:row r="915">
      <x:c r="A915" s="23" t="str">
        <x:v>MAN-2025-00914</x:v>
      </x:c>
      <x:c r="B915" s="24" t="n">
        <x:v>45933</x:v>
      </x:c>
      <x:c r="C915" s="25" t="str">
        <x:v>Mansoura</x:v>
      </x:c>
      <x:c r="D915" s="25" t="str">
        <x:v>Sherbin</x:v>
      </x:c>
      <x:c r="E915" s="25" t="str">
        <x:v>Youssef Fathy</x:v>
      </x:c>
      <x:c r="F915" s="25" t="str">
        <x:v>Mahmoud Hassan</x:v>
      </x:c>
      <x:c r="G915" s="25" t="str">
        <x:v>Consumer</x:v>
      </x:c>
      <x:c r="H915" s="25" t="str">
        <x:v>Website</x:v>
      </x:c>
      <x:c r="I915" s="25" t="str">
        <x:v>Electronics</x:v>
      </x:c>
      <x:c r="J915" s="25" t="str">
        <x:v>Laptop</x:v>
      </x:c>
      <x:c r="K915" s="25" t="n">
        <x:v>6</x:v>
      </x:c>
      <x:c r="L915" s="26" t="n">
        <x:v>25073</x:v>
      </x:c>
      <x:c r="M915" s="27" t="n">
        <x:v>0.1</x:v>
      </x:c>
      <x:c r="N915" s="26" t="n">
        <x:f>K915*L915</x:f>
        <x:v>150438</x:v>
      </x:c>
      <x:c r="O915" s="26" t="n">
        <x:f>N915*(1-M915)</x:f>
        <x:v>135394.2</x:v>
      </x:c>
      <x:c r="P915" s="26" t="n">
        <x:v>21005</x:v>
      </x:c>
      <x:c r="Q915" s="26" t="n">
        <x:f>K915*P915</x:f>
        <x:v>126030</x:v>
      </x:c>
      <x:c r="R915" s="26" t="n">
        <x:f>O915-Q915</x:f>
        <x:v>9364.200000000012</x:v>
      </x:c>
      <x:c r="S915" s="28" t="n">
        <x:f>IF(O915=0,0,R915/O915)</x:f>
        <x:v>0.06916248997372126</x:v>
      </x:c>
      <x:c r="T915" s="25" t="str">
        <x:v>Credit Card</x:v>
      </x:c>
      <x:c r="U915" s="25" t="str">
        <x:v>Completed</x:v>
      </x:c>
      <x:c r="V915" s="29" t="n">
        <x:v>4</x:v>
      </x:c>
    </x:row>
    <x:row r="916">
      <x:c r="A916" s="23" t="str">
        <x:v>MAN-2025-00915</x:v>
      </x:c>
      <x:c r="B916" s="24" t="n">
        <x:v>45781</x:v>
      </x:c>
      <x:c r="C916" s="25" t="str">
        <x:v>Mansoura</x:v>
      </x:c>
      <x:c r="D916" s="25" t="str">
        <x:v>Sherbin</x:v>
      </x:c>
      <x:c r="E916" s="25" t="str">
        <x:v>Salma Mansour</x:v>
      </x:c>
      <x:c r="F916" s="25" t="str">
        <x:v>Salma Mansour</x:v>
      </x:c>
      <x:c r="G916" s="25" t="str">
        <x:v>Corporate</x:v>
      </x:c>
      <x:c r="H916" s="25" t="str">
        <x:v>Retail Store</x:v>
      </x:c>
      <x:c r="I916" s="25" t="str">
        <x:v>Home Appliances</x:v>
      </x:c>
      <x:c r="J916" s="25" t="str">
        <x:v>Blender</x:v>
      </x:c>
      <x:c r="K916" s="25" t="n">
        <x:v>6</x:v>
      </x:c>
      <x:c r="L916" s="26" t="n">
        <x:v>1639</x:v>
      </x:c>
      <x:c r="M916" s="27" t="n">
        <x:v>0</x:v>
      </x:c>
      <x:c r="N916" s="26" t="n">
        <x:f>K916*L916</x:f>
        <x:v>9834</x:v>
      </x:c>
      <x:c r="O916" s="26" t="n">
        <x:f>N916*(1-M916)</x:f>
        <x:v>9834</x:v>
      </x:c>
      <x:c r="P916" s="26" t="n">
        <x:v>1243</x:v>
      </x:c>
      <x:c r="Q916" s="26" t="n">
        <x:f>K916*P916</x:f>
        <x:v>7458</x:v>
      </x:c>
      <x:c r="R916" s="26" t="n">
        <x:f>O916-Q916</x:f>
        <x:v>2376</x:v>
      </x:c>
      <x:c r="S916" s="28" t="n">
        <x:f>IF(O916=0,0,R916/O916)</x:f>
        <x:v>0.24161073825503357</x:v>
      </x:c>
      <x:c r="T916" s="25" t="str">
        <x:v>Digital Wallet</x:v>
      </x:c>
      <x:c r="U916" s="25" t="str">
        <x:v>Returned</x:v>
      </x:c>
      <x:c r="V916" s="29" t="n">
        <x:v>5</x:v>
      </x:c>
    </x:row>
    <x:row r="917">
      <x:c r="A917" s="23" t="str">
        <x:v>MAN-2025-00916</x:v>
      </x:c>
      <x:c r="B917" s="24" t="n">
        <x:v>45747</x:v>
      </x:c>
      <x:c r="C917" s="25" t="str">
        <x:v>Mansoura</x:v>
      </x:c>
      <x:c r="D917" s="25" t="str">
        <x:v>Mit Ghamr</x:v>
      </x:c>
      <x:c r="E917" s="25" t="str">
        <x:v>Ali Sayed</x:v>
      </x:c>
      <x:c r="F917" s="25" t="str">
        <x:v>Ahmed Gamal</x:v>
      </x:c>
      <x:c r="G917" s="25" t="str">
        <x:v>Corporate</x:v>
      </x:c>
      <x:c r="H917" s="25" t="str">
        <x:v>Retail Store</x:v>
      </x:c>
      <x:c r="I917" s="25" t="str">
        <x:v>Furniture</x:v>
      </x:c>
      <x:c r="J917" s="25" t="str">
        <x:v>Sofa</x:v>
      </x:c>
      <x:c r="K917" s="25" t="n">
        <x:v>6</x:v>
      </x:c>
      <x:c r="L917" s="26" t="n">
        <x:v>13097</x:v>
      </x:c>
      <x:c r="M917" s="27" t="n">
        <x:v>0.1</x:v>
      </x:c>
      <x:c r="N917" s="26" t="n">
        <x:f>K917*L917</x:f>
        <x:v>78582</x:v>
      </x:c>
      <x:c r="O917" s="26" t="n">
        <x:f>N917*(1-M917)</x:f>
        <x:v>70723.8</x:v>
      </x:c>
      <x:c r="P917" s="26" t="n">
        <x:v>10756</x:v>
      </x:c>
      <x:c r="Q917" s="26" t="n">
        <x:f>K917*P917</x:f>
        <x:v>64536</x:v>
      </x:c>
      <x:c r="R917" s="26" t="n">
        <x:f>O917-Q917</x:f>
        <x:v>6187.800000000003</x:v>
      </x:c>
      <x:c r="S917" s="28" t="n">
        <x:f>IF(O917=0,0,R917/O917)</x:f>
        <x:v>0.08749247071000148</x:v>
      </x:c>
      <x:c r="T917" s="25" t="str">
        <x:v>Debit Card</x:v>
      </x:c>
      <x:c r="U917" s="25" t="str">
        <x:v>Returned</x:v>
      </x:c>
      <x:c r="V917" s="29" t="n">
        <x:v>5</x:v>
      </x:c>
    </x:row>
    <x:row r="918">
      <x:c r="A918" s="23" t="str">
        <x:v>MAN-2025-00917</x:v>
      </x:c>
      <x:c r="B918" s="24" t="n">
        <x:v>45724</x:v>
      </x:c>
      <x:c r="C918" s="25" t="str">
        <x:v>Mansoura</x:v>
      </x:c>
      <x:c r="D918" s="25" t="str">
        <x:v>Talkha</x:v>
      </x:c>
      <x:c r="E918" s="25" t="str">
        <x:v>Ali Sayed</x:v>
      </x:c>
      <x:c r="F918" s="25" t="str">
        <x:v>Mostafa Ibrahim</x:v>
      </x:c>
      <x:c r="G918" s="25" t="str">
        <x:v>Consumer</x:v>
      </x:c>
      <x:c r="H918" s="25" t="str">
        <x:v>Retail Store</x:v>
      </x:c>
      <x:c r="I918" s="25" t="str">
        <x:v>Office Supplies</x:v>
      </x:c>
      <x:c r="J918" s="25" t="str">
        <x:v>Ink Cartridge</x:v>
      </x:c>
      <x:c r="K918" s="25" t="n">
        <x:v>1</x:v>
      </x:c>
      <x:c r="L918" s="26" t="n">
        <x:v>840</x:v>
      </x:c>
      <x:c r="M918" s="27" t="n">
        <x:v>0.1</x:v>
      </x:c>
      <x:c r="N918" s="26" t="n">
        <x:f>K918*L918</x:f>
        <x:v>840</x:v>
      </x:c>
      <x:c r="O918" s="26" t="n">
        <x:f>N918*(1-M918)</x:f>
        <x:v>756</x:v>
      </x:c>
      <x:c r="P918" s="26" t="n">
        <x:v>593</x:v>
      </x:c>
      <x:c r="Q918" s="26" t="n">
        <x:f>K918*P918</x:f>
        <x:v>593</x:v>
      </x:c>
      <x:c r="R918" s="26" t="n">
        <x:f>O918-Q918</x:f>
        <x:v>163</x:v>
      </x:c>
      <x:c r="S918" s="28" t="n">
        <x:f>IF(O918=0,0,R918/O918)</x:f>
        <x:v>0.2156084656084656</x:v>
      </x:c>
      <x:c r="T918" s="25" t="str">
        <x:v>Debit Card</x:v>
      </x:c>
      <x:c r="U918" s="25" t="str">
        <x:v>Cancelled</x:v>
      </x:c>
      <x:c r="V918" s="29" t="n">
        <x:v>3</x:v>
      </x:c>
    </x:row>
    <x:row r="919">
      <x:c r="A919" s="23" t="str">
        <x:v>MAN-2025-00918</x:v>
      </x:c>
      <x:c r="B919" s="24" t="n">
        <x:v>45823</x:v>
      </x:c>
      <x:c r="C919" s="25" t="str">
        <x:v>Mansoura</x:v>
      </x:c>
      <x:c r="D919" s="25" t="str">
        <x:v>Sherbin</x:v>
      </x:c>
      <x:c r="E919" s="25" t="str">
        <x:v>Youssef Fathy</x:v>
      </x:c>
      <x:c r="F919" s="25" t="str">
        <x:v>Aya Hassan</x:v>
      </x:c>
      <x:c r="G919" s="25" t="str">
        <x:v>Consumer</x:v>
      </x:c>
      <x:c r="H919" s="25" t="str">
        <x:v>Phone Order</x:v>
      </x:c>
      <x:c r="I919" s="25" t="str">
        <x:v>Furniture</x:v>
      </x:c>
      <x:c r="J919" s="25" t="str">
        <x:v>Office Chair</x:v>
      </x:c>
      <x:c r="K919" s="25" t="n">
        <x:v>5</x:v>
      </x:c>
      <x:c r="L919" s="26" t="n">
        <x:v>3893</x:v>
      </x:c>
      <x:c r="M919" s="27" t="n">
        <x:v>0</x:v>
      </x:c>
      <x:c r="N919" s="26" t="n">
        <x:f>K919*L919</x:f>
        <x:v>19465</x:v>
      </x:c>
      <x:c r="O919" s="26" t="n">
        <x:f>N919*(1-M919)</x:f>
        <x:v>19465</x:v>
      </x:c>
      <x:c r="P919" s="26" t="n">
        <x:v>2783</x:v>
      </x:c>
      <x:c r="Q919" s="26" t="n">
        <x:f>K919*P919</x:f>
        <x:v>13915</x:v>
      </x:c>
      <x:c r="R919" s="26" t="n">
        <x:f>O919-Q919</x:f>
        <x:v>5550</x:v>
      </x:c>
      <x:c r="S919" s="28" t="n">
        <x:f>IF(O919=0,0,R919/O919)</x:f>
        <x:v>0.2851271512972001</x:v>
      </x:c>
      <x:c r="T919" s="25" t="str">
        <x:v>Debit Card</x:v>
      </x:c>
      <x:c r="U919" s="25" t="str">
        <x:v>Completed</x:v>
      </x:c>
      <x:c r="V919" s="29" t="n">
        <x:v>5</x:v>
      </x:c>
    </x:row>
    <x:row r="920">
      <x:c r="A920" s="23" t="str">
        <x:v>MAN-2025-00919</x:v>
      </x:c>
      <x:c r="B920" s="24" t="n">
        <x:v>45969</x:v>
      </x:c>
      <x:c r="C920" s="25" t="str">
        <x:v>Mansoura</x:v>
      </x:c>
      <x:c r="D920" s="25" t="str">
        <x:v>Sherbin</x:v>
      </x:c>
      <x:c r="E920" s="25" t="str">
        <x:v>Aya Farouk</x:v>
      </x:c>
      <x:c r="F920" s="25" t="str">
        <x:v>Salma Hassan</x:v>
      </x:c>
      <x:c r="G920" s="25" t="str">
        <x:v>Corporate</x:v>
      </x:c>
      <x:c r="H920" s="25" t="str">
        <x:v>Mobile App</x:v>
      </x:c>
      <x:c r="I920" s="25" t="str">
        <x:v>Office Supplies</x:v>
      </x:c>
      <x:c r="J920" s="25" t="str">
        <x:v>Printer</x:v>
      </x:c>
      <x:c r="K920" s="25" t="n">
        <x:v>1</x:v>
      </x:c>
      <x:c r="L920" s="26" t="n">
        <x:v>6488</x:v>
      </x:c>
      <x:c r="M920" s="27" t="n">
        <x:v>0</x:v>
      </x:c>
      <x:c r="N920" s="26" t="n">
        <x:f>K920*L920</x:f>
        <x:v>6488</x:v>
      </x:c>
      <x:c r="O920" s="26" t="n">
        <x:f>N920*(1-M920)</x:f>
        <x:v>6488</x:v>
      </x:c>
      <x:c r="P920" s="26" t="n">
        <x:v>5395</x:v>
      </x:c>
      <x:c r="Q920" s="26" t="n">
        <x:f>K920*P920</x:f>
        <x:v>5395</x:v>
      </x:c>
      <x:c r="R920" s="26" t="n">
        <x:f>O920-Q920</x:f>
        <x:v>1093</x:v>
      </x:c>
      <x:c r="S920" s="28" t="n">
        <x:f>IF(O920=0,0,R920/O920)</x:f>
        <x:v>0.1684648581997534</x:v>
      </x:c>
      <x:c r="T920" s="25" t="str">
        <x:v>Digital Wallet</x:v>
      </x:c>
      <x:c r="U920" s="25" t="str">
        <x:v>Completed</x:v>
      </x:c>
      <x:c r="V920" s="29" t="n">
        <x:v>4</x:v>
      </x:c>
    </x:row>
    <x:row r="921">
      <x:c r="A921" s="23" t="str">
        <x:v>MAN-2025-00920</x:v>
      </x:c>
      <x:c r="B921" s="24" t="n">
        <x:v>45717</x:v>
      </x:c>
      <x:c r="C921" s="25" t="str">
        <x:v>Mansoura</x:v>
      </x:c>
      <x:c r="D921" s="25" t="str">
        <x:v>Mit Ghamr</x:v>
      </x:c>
      <x:c r="E921" s="25" t="str">
        <x:v>Salma Mansour</x:v>
      </x:c>
      <x:c r="F921" s="25" t="str">
        <x:v>Ahmed Sayed</x:v>
      </x:c>
      <x:c r="G921" s="25" t="str">
        <x:v>Consumer</x:v>
      </x:c>
      <x:c r="H921" s="25" t="str">
        <x:v>Retail Store</x:v>
      </x:c>
      <x:c r="I921" s="25" t="str">
        <x:v>Office Supplies</x:v>
      </x:c>
      <x:c r="J921" s="25" t="str">
        <x:v>Paper Box</x:v>
      </x:c>
      <x:c r="K921" s="25" t="n">
        <x:v>6</x:v>
      </x:c>
      <x:c r="L921" s="26" t="n">
        <x:v>372</x:v>
      </x:c>
      <x:c r="M921" s="27" t="n">
        <x:v>0.1</x:v>
      </x:c>
      <x:c r="N921" s="26" t="n">
        <x:f>K921*L921</x:f>
        <x:v>2232</x:v>
      </x:c>
      <x:c r="O921" s="26" t="n">
        <x:f>N921*(1-M921)</x:f>
        <x:v>2008.8</x:v>
      </x:c>
      <x:c r="P921" s="26" t="n">
        <x:v>266</x:v>
      </x:c>
      <x:c r="Q921" s="26" t="n">
        <x:f>K921*P921</x:f>
        <x:v>1596</x:v>
      </x:c>
      <x:c r="R921" s="26" t="n">
        <x:f>O921-Q921</x:f>
        <x:v>412.79999999999995</x:v>
      </x:c>
      <x:c r="S921" s="28" t="n">
        <x:f>IF(O921=0,0,R921/O921)</x:f>
        <x:v>0.20549581839904418</x:v>
      </x:c>
      <x:c r="T921" s="25" t="str">
        <x:v>Debit Card</x:v>
      </x:c>
      <x:c r="U921" s="25" t="str">
        <x:v>Cancelled</x:v>
      </x:c>
      <x:c r="V921" s="29" t="n">
        <x:v>4</x:v>
      </x:c>
    </x:row>
    <x:row r="922">
      <x:c r="A922" s="23" t="str">
        <x:v>MAN-2025-00921</x:v>
      </x:c>
      <x:c r="B922" s="24" t="n">
        <x:v>45943</x:v>
      </x:c>
      <x:c r="C922" s="25" t="str">
        <x:v>Mansoura</x:v>
      </x:c>
      <x:c r="D922" s="25" t="str">
        <x:v>Sherbin</x:v>
      </x:c>
      <x:c r="E922" s="25" t="str">
        <x:v>Aya Farouk</x:v>
      </x:c>
      <x:c r="F922" s="25" t="str">
        <x:v>Salma Farouk</x:v>
      </x:c>
      <x:c r="G922" s="25" t="str">
        <x:v>Consumer</x:v>
      </x:c>
      <x:c r="H922" s="25" t="str">
        <x:v>Phone Order</x:v>
      </x:c>
      <x:c r="I922" s="25" t="str">
        <x:v>Home Appliances</x:v>
      </x:c>
      <x:c r="J922" s="25" t="str">
        <x:v>Blender</x:v>
      </x:c>
      <x:c r="K922" s="25" t="n">
        <x:v>4</x:v>
      </x:c>
      <x:c r="L922" s="26" t="n">
        <x:v>1850</x:v>
      </x:c>
      <x:c r="M922" s="27" t="n">
        <x:v>0.1</x:v>
      </x:c>
      <x:c r="N922" s="26" t="n">
        <x:f>K922*L922</x:f>
        <x:v>7400</x:v>
      </x:c>
      <x:c r="O922" s="26" t="n">
        <x:f>N922*(1-M922)</x:f>
        <x:v>6660</x:v>
      </x:c>
      <x:c r="P922" s="26" t="n">
        <x:v>1296</x:v>
      </x:c>
      <x:c r="Q922" s="26" t="n">
        <x:f>K922*P922</x:f>
        <x:v>5184</x:v>
      </x:c>
      <x:c r="R922" s="26" t="n">
        <x:f>O922-Q922</x:f>
        <x:v>1476</x:v>
      </x:c>
      <x:c r="S922" s="28" t="n">
        <x:f>IF(O922=0,0,R922/O922)</x:f>
        <x:v>0.22162162162162163</x:v>
      </x:c>
      <x:c r="T922" s="25" t="str">
        <x:v>Credit Card</x:v>
      </x:c>
      <x:c r="U922" s="25" t="str">
        <x:v>Completed</x:v>
      </x:c>
      <x:c r="V922" s="29" t="n">
        <x:v>3</x:v>
      </x:c>
    </x:row>
    <x:row r="923">
      <x:c r="A923" s="23" t="str">
        <x:v>MAN-2025-00922</x:v>
      </x:c>
      <x:c r="B923" s="24" t="n">
        <x:v>45949</x:v>
      </x:c>
      <x:c r="C923" s="25" t="str">
        <x:v>Mansoura</x:v>
      </x:c>
      <x:c r="D923" s="25" t="str">
        <x:v>Mansoura City</x:v>
      </x:c>
      <x:c r="E923" s="25" t="str">
        <x:v>Ali Sayed</x:v>
      </x:c>
      <x:c r="F923" s="25" t="str">
        <x:v>Farah Nasser</x:v>
      </x:c>
      <x:c r="G923" s="25" t="str">
        <x:v>Consumer</x:v>
      </x:c>
      <x:c r="H923" s="25" t="str">
        <x:v>Retail Store</x:v>
      </x:c>
      <x:c r="I923" s="25" t="str">
        <x:v>Electronics</x:v>
      </x:c>
      <x:c r="J923" s="25" t="str">
        <x:v>Headphones</x:v>
      </x:c>
      <x:c r="K923" s="25" t="n">
        <x:v>5</x:v>
      </x:c>
      <x:c r="L923" s="26" t="n">
        <x:v>1606</x:v>
      </x:c>
      <x:c r="M923" s="27" t="n">
        <x:v>0</x:v>
      </x:c>
      <x:c r="N923" s="26" t="n">
        <x:f>K923*L923</x:f>
        <x:v>8030</x:v>
      </x:c>
      <x:c r="O923" s="26" t="n">
        <x:f>N923*(1-M923)</x:f>
        <x:v>8030</x:v>
      </x:c>
      <x:c r="P923" s="26" t="n">
        <x:v>1107</x:v>
      </x:c>
      <x:c r="Q923" s="26" t="n">
        <x:f>K923*P923</x:f>
        <x:v>5535</x:v>
      </x:c>
      <x:c r="R923" s="26" t="n">
        <x:f>O923-Q923</x:f>
        <x:v>2495</x:v>
      </x:c>
      <x:c r="S923" s="28" t="n">
        <x:f>IF(O923=0,0,R923/O923)</x:f>
        <x:v>0.3107098381070984</x:v>
      </x:c>
      <x:c r="T923" s="25" t="str">
        <x:v>Debit Card</x:v>
      </x:c>
      <x:c r="U923" s="25" t="str">
        <x:v>Completed</x:v>
      </x:c>
      <x:c r="V923" s="29" t="n">
        <x:v>3</x:v>
      </x:c>
    </x:row>
    <x:row r="924">
      <x:c r="A924" s="23" t="str">
        <x:v>MAN-2025-00923</x:v>
      </x:c>
      <x:c r="B924" s="24" t="n">
        <x:v>46013</x:v>
      </x:c>
      <x:c r="C924" s="25" t="str">
        <x:v>Mansoura</x:v>
      </x:c>
      <x:c r="D924" s="25" t="str">
        <x:v>Sherbin</x:v>
      </x:c>
      <x:c r="E924" s="25" t="str">
        <x:v>Ali Sayed</x:v>
      </x:c>
      <x:c r="F924" s="25" t="str">
        <x:v>Mohamed Farouk</x:v>
      </x:c>
      <x:c r="G924" s="25" t="str">
        <x:v>Consumer</x:v>
      </x:c>
      <x:c r="H924" s="25" t="str">
        <x:v>Retail Store</x:v>
      </x:c>
      <x:c r="I924" s="25" t="str">
        <x:v>Office Supplies</x:v>
      </x:c>
      <x:c r="J924" s="25" t="str">
        <x:v>Printer</x:v>
      </x:c>
      <x:c r="K924" s="25" t="n">
        <x:v>5</x:v>
      </x:c>
      <x:c r="L924" s="26" t="n">
        <x:v>6388</x:v>
      </x:c>
      <x:c r="M924" s="27" t="n">
        <x:v>0.05</x:v>
      </x:c>
      <x:c r="N924" s="26" t="n">
        <x:f>K924*L924</x:f>
        <x:v>31940</x:v>
      </x:c>
      <x:c r="O924" s="26" t="n">
        <x:f>N924*(1-M924)</x:f>
        <x:v>30343</x:v>
      </x:c>
      <x:c r="P924" s="26" t="n">
        <x:v>5512</x:v>
      </x:c>
      <x:c r="Q924" s="26" t="n">
        <x:f>K924*P924</x:f>
        <x:v>27560</x:v>
      </x:c>
      <x:c r="R924" s="26" t="n">
        <x:f>O924-Q924</x:f>
        <x:v>2783</x:v>
      </x:c>
      <x:c r="S924" s="28" t="n">
        <x:f>IF(O924=0,0,R924/O924)</x:f>
        <x:v>0.09171802392644103</x:v>
      </x:c>
      <x:c r="T924" s="25" t="str">
        <x:v>Bank Transfer</x:v>
      </x:c>
      <x:c r="U924" s="25" t="str">
        <x:v>Completed</x:v>
      </x:c>
      <x:c r="V924" s="29" t="n">
        <x:v>4</x:v>
      </x:c>
    </x:row>
    <x:row r="925">
      <x:c r="A925" s="23" t="str">
        <x:v>MAN-2025-00924</x:v>
      </x:c>
      <x:c r="B925" s="24" t="n">
        <x:v>45811</x:v>
      </x:c>
      <x:c r="C925" s="25" t="str">
        <x:v>Mansoura</x:v>
      </x:c>
      <x:c r="D925" s="25" t="str">
        <x:v>Mit Ghamr</x:v>
      </x:c>
      <x:c r="E925" s="25" t="str">
        <x:v>Ali Sayed</x:v>
      </x:c>
      <x:c r="F925" s="25" t="str">
        <x:v>Ali Tarek</x:v>
      </x:c>
      <x:c r="G925" s="25" t="str">
        <x:v>Corporate</x:v>
      </x:c>
      <x:c r="H925" s="25" t="str">
        <x:v>Retail Store</x:v>
      </x:c>
      <x:c r="I925" s="25" t="str">
        <x:v>Home Appliances</x:v>
      </x:c>
      <x:c r="J925" s="25" t="str">
        <x:v>Washing Machine</x:v>
      </x:c>
      <x:c r="K925" s="25" t="n">
        <x:v>3</x:v>
      </x:c>
      <x:c r="L925" s="26" t="n">
        <x:v>16989</x:v>
      </x:c>
      <x:c r="M925" s="27" t="n">
        <x:v>0</x:v>
      </x:c>
      <x:c r="N925" s="26" t="n">
        <x:f>K925*L925</x:f>
        <x:v>50967</x:v>
      </x:c>
      <x:c r="O925" s="26" t="n">
        <x:f>N925*(1-M925)</x:f>
        <x:v>50967</x:v>
      </x:c>
      <x:c r="P925" s="26" t="n">
        <x:v>13690</x:v>
      </x:c>
      <x:c r="Q925" s="26" t="n">
        <x:f>K925*P925</x:f>
        <x:v>41070</x:v>
      </x:c>
      <x:c r="R925" s="26" t="n">
        <x:f>O925-Q925</x:f>
        <x:v>9897</x:v>
      </x:c>
      <x:c r="S925" s="28" t="n">
        <x:f>IF(O925=0,0,R925/O925)</x:f>
        <x:v>0.1941844723056095</x:v>
      </x:c>
      <x:c r="T925" s="25" t="str">
        <x:v>Credit Card</x:v>
      </x:c>
      <x:c r="U925" s="25" t="str">
        <x:v>Completed</x:v>
      </x:c>
      <x:c r="V925" s="29" t="n">
        <x:v>4</x:v>
      </x:c>
    </x:row>
    <x:row r="926">
      <x:c r="A926" s="23" t="str">
        <x:v>MAN-2025-00925</x:v>
      </x:c>
      <x:c r="B926" s="24" t="n">
        <x:v>45692</x:v>
      </x:c>
      <x:c r="C926" s="25" t="str">
        <x:v>Mansoura</x:v>
      </x:c>
      <x:c r="D926" s="25" t="str">
        <x:v>Mansoura City</x:v>
      </x:c>
      <x:c r="E926" s="25" t="str">
        <x:v>Aya Farouk</x:v>
      </x:c>
      <x:c r="F926" s="25" t="str">
        <x:v>Ahmed Nasser</x:v>
      </x:c>
      <x:c r="G926" s="25" t="str">
        <x:v>Small Business</x:v>
      </x:c>
      <x:c r="H926" s="25" t="str">
        <x:v>Mobile App</x:v>
      </x:c>
      <x:c r="I926" s="25" t="str">
        <x:v>Furniture</x:v>
      </x:c>
      <x:c r="J926" s="25" t="str">
        <x:v>Sofa</x:v>
      </x:c>
      <x:c r="K926" s="25" t="n">
        <x:v>2</x:v>
      </x:c>
      <x:c r="L926" s="26" t="n">
        <x:v>13678</x:v>
      </x:c>
      <x:c r="M926" s="27" t="n">
        <x:v>0.05</x:v>
      </x:c>
      <x:c r="N926" s="26" t="n">
        <x:f>K926*L926</x:f>
        <x:v>27356</x:v>
      </x:c>
      <x:c r="O926" s="26" t="n">
        <x:f>N926*(1-M926)</x:f>
        <x:v>25988.199999999997</x:v>
      </x:c>
      <x:c r="P926" s="26" t="n">
        <x:v>10610</x:v>
      </x:c>
      <x:c r="Q926" s="26" t="n">
        <x:f>K926*P926</x:f>
        <x:v>21220</x:v>
      </x:c>
      <x:c r="R926" s="26" t="n">
        <x:f>O926-Q926</x:f>
        <x:v>4768.199999999997</x:v>
      </x:c>
      <x:c r="S926" s="28" t="n">
        <x:f>IF(O926=0,0,R926/O926)</x:f>
        <x:v>0.18347557737742504</x:v>
      </x:c>
      <x:c r="T926" s="25" t="str">
        <x:v>Cash</x:v>
      </x:c>
      <x:c r="U926" s="25" t="str">
        <x:v>Completed</x:v>
      </x:c>
      <x:c r="V926" s="29" t="n">
        <x:v>4</x:v>
      </x:c>
    </x:row>
    <x:row r="927">
      <x:c r="A927" s="23" t="str">
        <x:v>MAN-2025-00926</x:v>
      </x:c>
      <x:c r="B927" s="24" t="n">
        <x:v>45877</x:v>
      </x:c>
      <x:c r="C927" s="25" t="str">
        <x:v>Mansoura</x:v>
      </x:c>
      <x:c r="D927" s="25" t="str">
        <x:v>Talkha</x:v>
      </x:c>
      <x:c r="E927" s="25" t="str">
        <x:v>Aya Farouk</x:v>
      </x:c>
      <x:c r="F927" s="25" t="str">
        <x:v>Mahmoud Khalil</x:v>
      </x:c>
      <x:c r="G927" s="25" t="str">
        <x:v>Consumer</x:v>
      </x:c>
      <x:c r="H927" s="25" t="str">
        <x:v>Retail Store</x:v>
      </x:c>
      <x:c r="I927" s="25" t="str">
        <x:v>Electronics</x:v>
      </x:c>
      <x:c r="J927" s="25" t="str">
        <x:v>Headphones</x:v>
      </x:c>
      <x:c r="K927" s="25" t="n">
        <x:v>2</x:v>
      </x:c>
      <x:c r="L927" s="26" t="n">
        <x:v>1704</x:v>
      </x:c>
      <x:c r="M927" s="27" t="n">
        <x:v>0.15</x:v>
      </x:c>
      <x:c r="N927" s="26" t="n">
        <x:f>K927*L927</x:f>
        <x:v>3408</x:v>
      </x:c>
      <x:c r="O927" s="26" t="n">
        <x:f>N927*(1-M927)</x:f>
        <x:v>2896.7999999999997</x:v>
      </x:c>
      <x:c r="P927" s="26" t="n">
        <x:v>1084</x:v>
      </x:c>
      <x:c r="Q927" s="26" t="n">
        <x:f>K927*P927</x:f>
        <x:v>2168</x:v>
      </x:c>
      <x:c r="R927" s="26" t="n">
        <x:f>O927-Q927</x:f>
        <x:v>728.7999999999997</x:v>
      </x:c>
      <x:c r="S927" s="28" t="n">
        <x:f>IF(O927=0,0,R927/O927)</x:f>
        <x:v>0.2515879591273128</x:v>
      </x:c>
      <x:c r="T927" s="25" t="str">
        <x:v>Digital Wallet</x:v>
      </x:c>
      <x:c r="U927" s="25" t="str">
        <x:v>Completed</x:v>
      </x:c>
      <x:c r="V927" s="29" t="n">
        <x:v>5</x:v>
      </x:c>
    </x:row>
    <x:row r="928">
      <x:c r="A928" s="23" t="str">
        <x:v>MAN-2025-00927</x:v>
      </x:c>
      <x:c r="B928" s="24" t="n">
        <x:v>45988</x:v>
      </x:c>
      <x:c r="C928" s="25" t="str">
        <x:v>Mansoura</x:v>
      </x:c>
      <x:c r="D928" s="25" t="str">
        <x:v>Aga</x:v>
      </x:c>
      <x:c r="E928" s="25" t="str">
        <x:v>Aya Farouk</x:v>
      </x:c>
      <x:c r="F928" s="25" t="str">
        <x:v>Mostafa Sayed</x:v>
      </x:c>
      <x:c r="G928" s="25" t="str">
        <x:v>Corporate</x:v>
      </x:c>
      <x:c r="H928" s="25" t="str">
        <x:v>Retail Store</x:v>
      </x:c>
      <x:c r="I928" s="25" t="str">
        <x:v>Electronics</x:v>
      </x:c>
      <x:c r="J928" s="25" t="str">
        <x:v>Smartphone</x:v>
      </x:c>
      <x:c r="K928" s="25" t="n">
        <x:v>1</x:v>
      </x:c>
      <x:c r="L928" s="26" t="n">
        <x:v>12927</x:v>
      </x:c>
      <x:c r="M928" s="27" t="n">
        <x:v>0.05</x:v>
      </x:c>
      <x:c r="N928" s="26" t="n">
        <x:f>K928*L928</x:f>
        <x:v>12927</x:v>
      </x:c>
      <x:c r="O928" s="26" t="n">
        <x:f>N928*(1-M928)</x:f>
        <x:v>12280.65</x:v>
      </x:c>
      <x:c r="P928" s="26" t="n">
        <x:v>10966</x:v>
      </x:c>
      <x:c r="Q928" s="26" t="n">
        <x:f>K928*P928</x:f>
        <x:v>10966</x:v>
      </x:c>
      <x:c r="R928" s="26" t="n">
        <x:f>O928-Q928</x:f>
        <x:v>1314.6499999999996</x:v>
      </x:c>
      <x:c r="S928" s="28" t="n">
        <x:f>IF(O928=0,0,R928/O928)</x:f>
        <x:v>0.10705052257005937</x:v>
      </x:c>
      <x:c r="T928" s="25" t="str">
        <x:v>Credit Card</x:v>
      </x:c>
      <x:c r="U928" s="25" t="str">
        <x:v>Completed</x:v>
      </x:c>
      <x:c r="V928" s="29" t="n">
        <x:v>4</x:v>
      </x:c>
    </x:row>
    <x:row r="929">
      <x:c r="A929" s="23" t="str">
        <x:v>MAN-2025-00928</x:v>
      </x:c>
      <x:c r="B929" s="24" t="n">
        <x:v>45939</x:v>
      </x:c>
      <x:c r="C929" s="25" t="str">
        <x:v>Mansoura</x:v>
      </x:c>
      <x:c r="D929" s="25" t="str">
        <x:v>Aga</x:v>
      </x:c>
      <x:c r="E929" s="25" t="str">
        <x:v>Ali Sayed</x:v>
      </x:c>
      <x:c r="F929" s="25" t="str">
        <x:v>Mahmoud Samir</x:v>
      </x:c>
      <x:c r="G929" s="25" t="str">
        <x:v>Corporate</x:v>
      </x:c>
      <x:c r="H929" s="25" t="str">
        <x:v>Mobile App</x:v>
      </x:c>
      <x:c r="I929" s="25" t="str">
        <x:v>Home Appliances</x:v>
      </x:c>
      <x:c r="J929" s="25" t="str">
        <x:v>Washing Machine</x:v>
      </x:c>
      <x:c r="K929" s="25" t="n">
        <x:v>2</x:v>
      </x:c>
      <x:c r="L929" s="26" t="n">
        <x:v>15495</x:v>
      </x:c>
      <x:c r="M929" s="27" t="n">
        <x:v>0.1</x:v>
      </x:c>
      <x:c r="N929" s="26" t="n">
        <x:f>K929*L929</x:f>
        <x:v>30990</x:v>
      </x:c>
      <x:c r="O929" s="26" t="n">
        <x:f>N929*(1-M929)</x:f>
        <x:v>27891</x:v>
      </x:c>
      <x:c r="P929" s="26" t="n">
        <x:v>13742</x:v>
      </x:c>
      <x:c r="Q929" s="26" t="n">
        <x:f>K929*P929</x:f>
        <x:v>27484</x:v>
      </x:c>
      <x:c r="R929" s="26" t="n">
        <x:f>O929-Q929</x:f>
        <x:v>407</x:v>
      </x:c>
      <x:c r="S929" s="28" t="n">
        <x:f>IF(O929=0,0,R929/O929)</x:f>
        <x:v>0.014592520884873257</x:v>
      </x:c>
      <x:c r="T929" s="25" t="str">
        <x:v>Cash</x:v>
      </x:c>
      <x:c r="U929" s="25" t="str">
        <x:v>Completed</x:v>
      </x:c>
      <x:c r="V929" s="29" t="n">
        <x:v>5</x:v>
      </x:c>
    </x:row>
    <x:row r="930">
      <x:c r="A930" s="23" t="str">
        <x:v>MAN-2025-00929</x:v>
      </x:c>
      <x:c r="B930" s="24" t="n">
        <x:v>45685</x:v>
      </x:c>
      <x:c r="C930" s="25" t="str">
        <x:v>Mansoura</x:v>
      </x:c>
      <x:c r="D930" s="25" t="str">
        <x:v>Sherbin</x:v>
      </x:c>
      <x:c r="E930" s="25" t="str">
        <x:v>Ali Sayed</x:v>
      </x:c>
      <x:c r="F930" s="25" t="str">
        <x:v>Mahmoud Gamal</x:v>
      </x:c>
      <x:c r="G930" s="25" t="str">
        <x:v>Consumer</x:v>
      </x:c>
      <x:c r="H930" s="25" t="str">
        <x:v>Mobile App</x:v>
      </x:c>
      <x:c r="I930" s="25" t="str">
        <x:v>Home Appliances</x:v>
      </x:c>
      <x:c r="J930" s="25" t="str">
        <x:v>Washing Machine</x:v>
      </x:c>
      <x:c r="K930" s="25" t="n">
        <x:v>3</x:v>
      </x:c>
      <x:c r="L930" s="26" t="n">
        <x:v>15803</x:v>
      </x:c>
      <x:c r="M930" s="27" t="n">
        <x:v>0.15</x:v>
      </x:c>
      <x:c r="N930" s="26" t="n">
        <x:f>K930*L930</x:f>
        <x:v>47409</x:v>
      </x:c>
      <x:c r="O930" s="26" t="n">
        <x:f>N930*(1-M930)</x:f>
        <x:v>40297.65</x:v>
      </x:c>
      <x:c r="P930" s="26" t="n">
        <x:v>14125</x:v>
      </x:c>
      <x:c r="Q930" s="26" t="n">
        <x:f>K930*P930</x:f>
        <x:v>42375</x:v>
      </x:c>
      <x:c r="R930" s="26" t="n">
        <x:f>O930-Q930</x:f>
        <x:v>-2077.3499999999985</x:v>
      </x:c>
      <x:c r="S930" s="28" t="n">
        <x:f>IF(O930=0,0,R930/O930)</x:f>
        <x:v>-0.0515501524282433</x:v>
      </x:c>
      <x:c r="T930" s="25" t="str">
        <x:v>Bank Transfer</x:v>
      </x:c>
      <x:c r="U930" s="25" t="str">
        <x:v>Returned</x:v>
      </x:c>
      <x:c r="V930" s="29" t="n">
        <x:v>5</x:v>
      </x:c>
    </x:row>
    <x:row r="931">
      <x:c r="A931" s="23" t="str">
        <x:v>MAN-2025-00930</x:v>
      </x:c>
      <x:c r="B931" s="24" t="n">
        <x:v>45662</x:v>
      </x:c>
      <x:c r="C931" s="25" t="str">
        <x:v>Mansoura</x:v>
      </x:c>
      <x:c r="D931" s="25" t="str">
        <x:v>Talkha</x:v>
      </x:c>
      <x:c r="E931" s="25" t="str">
        <x:v>Salma Mansour</x:v>
      </x:c>
      <x:c r="F931" s="25" t="str">
        <x:v>Farah Adel</x:v>
      </x:c>
      <x:c r="G931" s="25" t="str">
        <x:v>Consumer</x:v>
      </x:c>
      <x:c r="H931" s="25" t="str">
        <x:v>Retail Store</x:v>
      </x:c>
      <x:c r="I931" s="25" t="str">
        <x:v>Home Appliances</x:v>
      </x:c>
      <x:c r="J931" s="25" t="str">
        <x:v>Air Conditioner</x:v>
      </x:c>
      <x:c r="K931" s="25" t="n">
        <x:v>3</x:v>
      </x:c>
      <x:c r="L931" s="26" t="n">
        <x:v>20094</x:v>
      </x:c>
      <x:c r="M931" s="27" t="n">
        <x:v>0</x:v>
      </x:c>
      <x:c r="N931" s="26" t="n">
        <x:f>K931*L931</x:f>
        <x:v>60282</x:v>
      </x:c>
      <x:c r="O931" s="26" t="n">
        <x:f>N931*(1-M931)</x:f>
        <x:v>60282</x:v>
      </x:c>
      <x:c r="P931" s="26" t="n">
        <x:v>17370</x:v>
      </x:c>
      <x:c r="Q931" s="26" t="n">
        <x:f>K931*P931</x:f>
        <x:v>52110</x:v>
      </x:c>
      <x:c r="R931" s="26" t="n">
        <x:f>O931-Q931</x:f>
        <x:v>8172</x:v>
      </x:c>
      <x:c r="S931" s="28" t="n">
        <x:f>IF(O931=0,0,R931/O931)</x:f>
        <x:v>0.13556285458345774</x:v>
      </x:c>
      <x:c r="T931" s="25" t="str">
        <x:v>Cash</x:v>
      </x:c>
      <x:c r="U931" s="25" t="str">
        <x:v>Completed</x:v>
      </x:c>
      <x:c r="V931" s="29" t="n">
        <x:v>5</x:v>
      </x:c>
    </x:row>
    <x:row r="932">
      <x:c r="A932" s="23" t="str">
        <x:v>MAN-2025-00931</x:v>
      </x:c>
      <x:c r="B932" s="24" t="n">
        <x:v>45814</x:v>
      </x:c>
      <x:c r="C932" s="25" t="str">
        <x:v>Mansoura</x:v>
      </x:c>
      <x:c r="D932" s="25" t="str">
        <x:v>Mit Ghamr</x:v>
      </x:c>
      <x:c r="E932" s="25" t="str">
        <x:v>Aya Farouk</x:v>
      </x:c>
      <x:c r="F932" s="25" t="str">
        <x:v>Ahmed Ibrahim</x:v>
      </x:c>
      <x:c r="G932" s="25" t="str">
        <x:v>Consumer</x:v>
      </x:c>
      <x:c r="H932" s="25" t="str">
        <x:v>Retail Store</x:v>
      </x:c>
      <x:c r="I932" s="25" t="str">
        <x:v>Home Appliances</x:v>
      </x:c>
      <x:c r="J932" s="25" t="str">
        <x:v>Microwave</x:v>
      </x:c>
      <x:c r="K932" s="25" t="n">
        <x:v>2</x:v>
      </x:c>
      <x:c r="L932" s="26" t="n">
        <x:v>5266</x:v>
      </x:c>
      <x:c r="M932" s="27" t="n">
        <x:v>0.15</x:v>
      </x:c>
      <x:c r="N932" s="26" t="n">
        <x:f>K932*L932</x:f>
        <x:v>10532</x:v>
      </x:c>
      <x:c r="O932" s="26" t="n">
        <x:f>N932*(1-M932)</x:f>
        <x:v>8952.199999999999</x:v>
      </x:c>
      <x:c r="P932" s="26" t="n">
        <x:v>4515</x:v>
      </x:c>
      <x:c r="Q932" s="26" t="n">
        <x:f>K932*P932</x:f>
        <x:v>9030</x:v>
      </x:c>
      <x:c r="R932" s="26" t="n">
        <x:f>O932-Q932</x:f>
        <x:v>-77.80000000000109</x:v>
      </x:c>
      <x:c r="S932" s="28" t="n">
        <x:f>IF(O932=0,0,R932/O932)</x:f>
        <x:v>-0.00869060119300296</x:v>
      </x:c>
      <x:c r="T932" s="25" t="str">
        <x:v>Bank Transfer</x:v>
      </x:c>
      <x:c r="U932" s="25" t="str">
        <x:v>Completed</x:v>
      </x:c>
      <x:c r="V932" s="29" t="n">
        <x:v>4</x:v>
      </x:c>
    </x:row>
    <x:row r="933">
      <x:c r="A933" s="23" t="str">
        <x:v>MAN-2025-00932</x:v>
      </x:c>
      <x:c r="B933" s="24" t="n">
        <x:v>45756</x:v>
      </x:c>
      <x:c r="C933" s="25" t="str">
        <x:v>Mansoura</x:v>
      </x:c>
      <x:c r="D933" s="25" t="str">
        <x:v>Mit Ghamr</x:v>
      </x:c>
      <x:c r="E933" s="25" t="str">
        <x:v>Aya Farouk</x:v>
      </x:c>
      <x:c r="F933" s="25" t="str">
        <x:v>Amr Khalil</x:v>
      </x:c>
      <x:c r="G933" s="25" t="str">
        <x:v>Consumer</x:v>
      </x:c>
      <x:c r="H933" s="25" t="str">
        <x:v>Phone Order</x:v>
      </x:c>
      <x:c r="I933" s="25" t="str">
        <x:v>Home Appliances</x:v>
      </x:c>
      <x:c r="J933" s="25" t="str">
        <x:v>Washing Machine</x:v>
      </x:c>
      <x:c r="K933" s="25" t="n">
        <x:v>5</x:v>
      </x:c>
      <x:c r="L933" s="26" t="n">
        <x:v>15962</x:v>
      </x:c>
      <x:c r="M933" s="27" t="n">
        <x:v>0.05</x:v>
      </x:c>
      <x:c r="N933" s="26" t="n">
        <x:f>K933*L933</x:f>
        <x:v>79810</x:v>
      </x:c>
      <x:c r="O933" s="26" t="n">
        <x:f>N933*(1-M933)</x:f>
        <x:v>75819.5</x:v>
      </x:c>
      <x:c r="P933" s="26" t="n">
        <x:v>14581</x:v>
      </x:c>
      <x:c r="Q933" s="26" t="n">
        <x:f>K933*P933</x:f>
        <x:v>72905</x:v>
      </x:c>
      <x:c r="R933" s="26" t="n">
        <x:f>O933-Q933</x:f>
        <x:v>2914.5</x:v>
      </x:c>
      <x:c r="S933" s="28" t="n">
        <x:f>IF(O933=0,0,R933/O933)</x:f>
        <x:v>0.03843997916103377</x:v>
      </x:c>
      <x:c r="T933" s="25" t="str">
        <x:v>Credit Card</x:v>
      </x:c>
      <x:c r="U933" s="25" t="str">
        <x:v>Completed</x:v>
      </x:c>
      <x:c r="V933" s="29" t="n">
        <x:v>5</x:v>
      </x:c>
    </x:row>
    <x:row r="934">
      <x:c r="A934" s="23" t="str">
        <x:v>MAN-2025-00933</x:v>
      </x:c>
      <x:c r="B934" s="24" t="n">
        <x:v>45799</x:v>
      </x:c>
      <x:c r="C934" s="25" t="str">
        <x:v>Mansoura</x:v>
      </x:c>
      <x:c r="D934" s="25" t="str">
        <x:v>Mansoura City</x:v>
      </x:c>
      <x:c r="E934" s="25" t="str">
        <x:v>Aya Farouk</x:v>
      </x:c>
      <x:c r="F934" s="25" t="str">
        <x:v>Youssef Adel</x:v>
      </x:c>
      <x:c r="G934" s="25" t="str">
        <x:v>Consumer</x:v>
      </x:c>
      <x:c r="H934" s="25" t="str">
        <x:v>Retail Store</x:v>
      </x:c>
      <x:c r="I934" s="25" t="str">
        <x:v>Home Appliances</x:v>
      </x:c>
      <x:c r="J934" s="25" t="str">
        <x:v>Air Conditioner</x:v>
      </x:c>
      <x:c r="K934" s="25" t="n">
        <x:v>6</x:v>
      </x:c>
      <x:c r="L934" s="26" t="n">
        <x:v>20555</x:v>
      </x:c>
      <x:c r="M934" s="27" t="n">
        <x:v>0.15</x:v>
      </x:c>
      <x:c r="N934" s="26" t="n">
        <x:f>K934*L934</x:f>
        <x:v>123330</x:v>
      </x:c>
      <x:c r="O934" s="26" t="n">
        <x:f>N934*(1-M934)</x:f>
        <x:v>104830.5</x:v>
      </x:c>
      <x:c r="P934" s="26" t="n">
        <x:v>17713</x:v>
      </x:c>
      <x:c r="Q934" s="26" t="n">
        <x:f>K934*P934</x:f>
        <x:v>106278</x:v>
      </x:c>
      <x:c r="R934" s="26" t="n">
        <x:f>O934-Q934</x:f>
        <x:v>-1447.5</x:v>
      </x:c>
      <x:c r="S934" s="28" t="n">
        <x:f>IF(O934=0,0,R934/O934)</x:f>
        <x:v>-0.01380800434987909</x:v>
      </x:c>
      <x:c r="T934" s="25" t="str">
        <x:v>Bank Transfer</x:v>
      </x:c>
      <x:c r="U934" s="25" t="str">
        <x:v>Completed</x:v>
      </x:c>
      <x:c r="V934" s="29" t="n">
        <x:v>5</x:v>
      </x:c>
    </x:row>
    <x:row r="935">
      <x:c r="A935" s="23" t="str">
        <x:v>MAN-2025-00934</x:v>
      </x:c>
      <x:c r="B935" s="24" t="n">
        <x:v>45949</x:v>
      </x:c>
      <x:c r="C935" s="25" t="str">
        <x:v>Mansoura</x:v>
      </x:c>
      <x:c r="D935" s="25" t="str">
        <x:v>Talkha</x:v>
      </x:c>
      <x:c r="E935" s="25" t="str">
        <x:v>Youssef Fathy</x:v>
      </x:c>
      <x:c r="F935" s="25" t="str">
        <x:v>Nour Nasser</x:v>
      </x:c>
      <x:c r="G935" s="25" t="str">
        <x:v>Corporate</x:v>
      </x:c>
      <x:c r="H935" s="25" t="str">
        <x:v>Website</x:v>
      </x:c>
      <x:c r="I935" s="25" t="str">
        <x:v>Home Appliances</x:v>
      </x:c>
      <x:c r="J935" s="25" t="str">
        <x:v>Microwave</x:v>
      </x:c>
      <x:c r="K935" s="25" t="n">
        <x:v>5</x:v>
      </x:c>
      <x:c r="L935" s="26" t="n">
        <x:v>5461</x:v>
      </x:c>
      <x:c r="M935" s="27" t="n">
        <x:v>0.05</x:v>
      </x:c>
      <x:c r="N935" s="26" t="n">
        <x:f>K935*L935</x:f>
        <x:v>27305</x:v>
      </x:c>
      <x:c r="O935" s="26" t="n">
        <x:f>N935*(1-M935)</x:f>
        <x:v>25939.75</x:v>
      </x:c>
      <x:c r="P935" s="26" t="n">
        <x:v>4283</x:v>
      </x:c>
      <x:c r="Q935" s="26" t="n">
        <x:f>K935*P935</x:f>
        <x:v>21415</x:v>
      </x:c>
      <x:c r="R935" s="26" t="n">
        <x:f>O935-Q935</x:f>
        <x:v>4524.75</x:v>
      </x:c>
      <x:c r="S935" s="28" t="n">
        <x:f>IF(O935=0,0,R935/O935)</x:f>
        <x:v>0.17443306122842356</x:v>
      </x:c>
      <x:c r="T935" s="25" t="str">
        <x:v>Credit Card</x:v>
      </x:c>
      <x:c r="U935" s="25" t="str">
        <x:v>Cancelled</x:v>
      </x:c>
      <x:c r="V935" s="29" t="n">
        <x:v>5</x:v>
      </x:c>
    </x:row>
    <x:row r="936">
      <x:c r="A936" s="23" t="str">
        <x:v>MAN-2025-00935</x:v>
      </x:c>
      <x:c r="B936" s="24" t="n">
        <x:v>45975</x:v>
      </x:c>
      <x:c r="C936" s="25" t="str">
        <x:v>Mansoura</x:v>
      </x:c>
      <x:c r="D936" s="25" t="str">
        <x:v>Sherbin</x:v>
      </x:c>
      <x:c r="E936" s="25" t="str">
        <x:v>Youssef Fathy</x:v>
      </x:c>
      <x:c r="F936" s="25" t="str">
        <x:v>Ali Samir</x:v>
      </x:c>
      <x:c r="G936" s="25" t="str">
        <x:v>Corporate</x:v>
      </x:c>
      <x:c r="H936" s="25" t="str">
        <x:v>Phone Order</x:v>
      </x:c>
      <x:c r="I936" s="25" t="str">
        <x:v>Furniture</x:v>
      </x:c>
      <x:c r="J936" s="25" t="str">
        <x:v>Desk</x:v>
      </x:c>
      <x:c r="K936" s="25" t="n">
        <x:v>1</x:v>
      </x:c>
      <x:c r="L936" s="26" t="n">
        <x:v>5070</x:v>
      </x:c>
      <x:c r="M936" s="27" t="n">
        <x:v>0.05</x:v>
      </x:c>
      <x:c r="N936" s="26" t="n">
        <x:f>K936*L936</x:f>
        <x:v>5070</x:v>
      </x:c>
      <x:c r="O936" s="26" t="n">
        <x:f>N936*(1-M936)</x:f>
        <x:v>4816.5</x:v>
      </x:c>
      <x:c r="P936" s="26" t="n">
        <x:v>3944</x:v>
      </x:c>
      <x:c r="Q936" s="26" t="n">
        <x:f>K936*P936</x:f>
        <x:v>3944</x:v>
      </x:c>
      <x:c r="R936" s="26" t="n">
        <x:f>O936-Q936</x:f>
        <x:v>872.5</x:v>
      </x:c>
      <x:c r="S936" s="28" t="n">
        <x:f>IF(O936=0,0,R936/O936)</x:f>
        <x:v>0.18114813661372367</x:v>
      </x:c>
      <x:c r="T936" s="25" t="str">
        <x:v>Bank Transfer</x:v>
      </x:c>
      <x:c r="U936" s="25" t="str">
        <x:v>Returned</x:v>
      </x:c>
      <x:c r="V936" s="29" t="n">
        <x:v>5</x:v>
      </x:c>
    </x:row>
    <x:row r="937">
      <x:c r="A937" s="23" t="str">
        <x:v>MAN-2025-00936</x:v>
      </x:c>
      <x:c r="B937" s="24" t="n">
        <x:v>45931</x:v>
      </x:c>
      <x:c r="C937" s="25" t="str">
        <x:v>Mansoura</x:v>
      </x:c>
      <x:c r="D937" s="25" t="str">
        <x:v>Mansoura City</x:v>
      </x:c>
      <x:c r="E937" s="25" t="str">
        <x:v>Salma Mansour</x:v>
      </x:c>
      <x:c r="F937" s="25" t="str">
        <x:v>Farah Mansour</x:v>
      </x:c>
      <x:c r="G937" s="25" t="str">
        <x:v>Corporate</x:v>
      </x:c>
      <x:c r="H937" s="25" t="str">
        <x:v>Phone Order</x:v>
      </x:c>
      <x:c r="I937" s="25" t="str">
        <x:v>Home Appliances</x:v>
      </x:c>
      <x:c r="J937" s="25" t="str">
        <x:v>Washing Machine</x:v>
      </x:c>
      <x:c r="K937" s="25" t="n">
        <x:v>2</x:v>
      </x:c>
      <x:c r="L937" s="26" t="n">
        <x:v>16537</x:v>
      </x:c>
      <x:c r="M937" s="27" t="n">
        <x:v>0</x:v>
      </x:c>
      <x:c r="N937" s="26" t="n">
        <x:f>K937*L937</x:f>
        <x:v>33074</x:v>
      </x:c>
      <x:c r="O937" s="26" t="n">
        <x:f>N937*(1-M937)</x:f>
        <x:v>33074</x:v>
      </x:c>
      <x:c r="P937" s="26" t="n">
        <x:v>13810</x:v>
      </x:c>
      <x:c r="Q937" s="26" t="n">
        <x:f>K937*P937</x:f>
        <x:v>27620</x:v>
      </x:c>
      <x:c r="R937" s="26" t="n">
        <x:f>O937-Q937</x:f>
        <x:v>5454</x:v>
      </x:c>
      <x:c r="S937" s="28" t="n">
        <x:f>IF(O937=0,0,R937/O937)</x:f>
        <x:v>0.16490294491141078</x:v>
      </x:c>
      <x:c r="T937" s="25" t="str">
        <x:v>Bank Transfer</x:v>
      </x:c>
      <x:c r="U937" s="25" t="str">
        <x:v>Cancelled</x:v>
      </x:c>
      <x:c r="V937" s="29" t="n">
        <x:v>3</x:v>
      </x:c>
    </x:row>
    <x:row r="938">
      <x:c r="A938" s="23" t="str">
        <x:v>MAN-2025-00937</x:v>
      </x:c>
      <x:c r="B938" s="24" t="n">
        <x:v>45706</x:v>
      </x:c>
      <x:c r="C938" s="25" t="str">
        <x:v>Mansoura</x:v>
      </x:c>
      <x:c r="D938" s="25" t="str">
        <x:v>Aga</x:v>
      </x:c>
      <x:c r="E938" s="25" t="str">
        <x:v>Aya Farouk</x:v>
      </x:c>
      <x:c r="F938" s="25" t="str">
        <x:v>Nour Fathy</x:v>
      </x:c>
      <x:c r="G938" s="25" t="str">
        <x:v>Corporate</x:v>
      </x:c>
      <x:c r="H938" s="25" t="str">
        <x:v>Phone Order</x:v>
      </x:c>
      <x:c r="I938" s="25" t="str">
        <x:v>Home Appliances</x:v>
      </x:c>
      <x:c r="J938" s="25" t="str">
        <x:v>Microwave</x:v>
      </x:c>
      <x:c r="K938" s="25" t="n">
        <x:v>6</x:v>
      </x:c>
      <x:c r="L938" s="26" t="n">
        <x:v>5848</x:v>
      </x:c>
      <x:c r="M938" s="27" t="n">
        <x:v>0</x:v>
      </x:c>
      <x:c r="N938" s="26" t="n">
        <x:f>K938*L938</x:f>
        <x:v>35088</x:v>
      </x:c>
      <x:c r="O938" s="26" t="n">
        <x:f>N938*(1-M938)</x:f>
        <x:v>35088</x:v>
      </x:c>
      <x:c r="P938" s="26" t="n">
        <x:v>4387</x:v>
      </x:c>
      <x:c r="Q938" s="26" t="n">
        <x:f>K938*P938</x:f>
        <x:v>26322</x:v>
      </x:c>
      <x:c r="R938" s="26" t="n">
        <x:f>O938-Q938</x:f>
        <x:v>8766</x:v>
      </x:c>
      <x:c r="S938" s="28" t="n">
        <x:f>IF(O938=0,0,R938/O938)</x:f>
        <x:v>0.24982900136798905</x:v>
      </x:c>
      <x:c r="T938" s="25" t="str">
        <x:v>Cash</x:v>
      </x:c>
      <x:c r="U938" s="25" t="str">
        <x:v>Completed</x:v>
      </x:c>
      <x:c r="V938" s="29" t="n">
        <x:v>5</x:v>
      </x:c>
    </x:row>
    <x:row r="939">
      <x:c r="A939" s="23" t="str">
        <x:v>MAN-2025-00938</x:v>
      </x:c>
      <x:c r="B939" s="24" t="n">
        <x:v>45799</x:v>
      </x:c>
      <x:c r="C939" s="25" t="str">
        <x:v>Mansoura</x:v>
      </x:c>
      <x:c r="D939" s="25" t="str">
        <x:v>Talkha</x:v>
      </x:c>
      <x:c r="E939" s="25" t="str">
        <x:v>Aya Farouk</x:v>
      </x:c>
      <x:c r="F939" s="25" t="str">
        <x:v>Mohamed Sayed</x:v>
      </x:c>
      <x:c r="G939" s="25" t="str">
        <x:v>Small Business</x:v>
      </x:c>
      <x:c r="H939" s="25" t="str">
        <x:v>Retail Store</x:v>
      </x:c>
      <x:c r="I939" s="25" t="str">
        <x:v>Electronics</x:v>
      </x:c>
      <x:c r="J939" s="25" t="str">
        <x:v>Smartphone</x:v>
      </x:c>
      <x:c r="K939" s="25" t="n">
        <x:v>5</x:v>
      </x:c>
      <x:c r="L939" s="26" t="n">
        <x:v>12296</x:v>
      </x:c>
      <x:c r="M939" s="27" t="n">
        <x:v>0.15</x:v>
      </x:c>
      <x:c r="N939" s="26" t="n">
        <x:f>K939*L939</x:f>
        <x:v>61480</x:v>
      </x:c>
      <x:c r="O939" s="26" t="n">
        <x:f>N939*(1-M939)</x:f>
        <x:v>52258</x:v>
      </x:c>
      <x:c r="P939" s="26" t="n">
        <x:v>10526</x:v>
      </x:c>
      <x:c r="Q939" s="26" t="n">
        <x:f>K939*P939</x:f>
        <x:v>52630</x:v>
      </x:c>
      <x:c r="R939" s="26" t="n">
        <x:f>O939-Q939</x:f>
        <x:v>-372</x:v>
      </x:c>
      <x:c r="S939" s="28" t="n">
        <x:f>IF(O939=0,0,R939/O939)</x:f>
        <x:v>-0.007118527306823836</x:v>
      </x:c>
      <x:c r="T939" s="25" t="str">
        <x:v>Digital Wallet</x:v>
      </x:c>
      <x:c r="U939" s="25" t="str">
        <x:v>Returned</x:v>
      </x:c>
      <x:c r="V939" s="29" t="n">
        <x:v>5</x:v>
      </x:c>
    </x:row>
    <x:row r="940">
      <x:c r="A940" s="23" t="str">
        <x:v>MAN-2025-00939</x:v>
      </x:c>
      <x:c r="B940" s="24" t="n">
        <x:v>45753</x:v>
      </x:c>
      <x:c r="C940" s="25" t="str">
        <x:v>Mansoura</x:v>
      </x:c>
      <x:c r="D940" s="25" t="str">
        <x:v>Aga</x:v>
      </x:c>
      <x:c r="E940" s="25" t="str">
        <x:v>Aya Farouk</x:v>
      </x:c>
      <x:c r="F940" s="25" t="str">
        <x:v>Mahmoud Tarek</x:v>
      </x:c>
      <x:c r="G940" s="25" t="str">
        <x:v>Consumer</x:v>
      </x:c>
      <x:c r="H940" s="25" t="str">
        <x:v>Mobile App</x:v>
      </x:c>
      <x:c r="I940" s="25" t="str">
        <x:v>Electronics</x:v>
      </x:c>
      <x:c r="J940" s="25" t="str">
        <x:v>Smartphone</x:v>
      </x:c>
      <x:c r="K940" s="25" t="n">
        <x:v>1</x:v>
      </x:c>
      <x:c r="L940" s="26" t="n">
        <x:v>13550</x:v>
      </x:c>
      <x:c r="M940" s="27" t="n">
        <x:v>0.05</x:v>
      </x:c>
      <x:c r="N940" s="26" t="n">
        <x:f>K940*L940</x:f>
        <x:v>13550</x:v>
      </x:c>
      <x:c r="O940" s="26" t="n">
        <x:f>N940*(1-M940)</x:f>
        <x:v>12872.5</x:v>
      </x:c>
      <x:c r="P940" s="26" t="n">
        <x:v>10661</x:v>
      </x:c>
      <x:c r="Q940" s="26" t="n">
        <x:f>K940*P940</x:f>
        <x:v>10661</x:v>
      </x:c>
      <x:c r="R940" s="26" t="n">
        <x:f>O940-Q940</x:f>
        <x:v>2211.5</x:v>
      </x:c>
      <x:c r="S940" s="28" t="n">
        <x:f>IF(O940=0,0,R940/O940)</x:f>
        <x:v>0.1718003495824432</x:v>
      </x:c>
      <x:c r="T940" s="25" t="str">
        <x:v>Debit Card</x:v>
      </x:c>
      <x:c r="U940" s="25" t="str">
        <x:v>Completed</x:v>
      </x:c>
      <x:c r="V940" s="29" t="n">
        <x:v>4</x:v>
      </x:c>
    </x:row>
    <x:row r="941">
      <x:c r="A941" s="23" t="str">
        <x:v>MAN-2025-00940</x:v>
      </x:c>
      <x:c r="B941" s="24" t="n">
        <x:v>45989</x:v>
      </x:c>
      <x:c r="C941" s="25" t="str">
        <x:v>Mansoura</x:v>
      </x:c>
      <x:c r="D941" s="25" t="str">
        <x:v>Sherbin</x:v>
      </x:c>
      <x:c r="E941" s="25" t="str">
        <x:v>Ali Sayed</x:v>
      </x:c>
      <x:c r="F941" s="25" t="str">
        <x:v>Salma Gamal</x:v>
      </x:c>
      <x:c r="G941" s="25" t="str">
        <x:v>Corporate</x:v>
      </x:c>
      <x:c r="H941" s="25" t="str">
        <x:v>Mobile App</x:v>
      </x:c>
      <x:c r="I941" s="25" t="str">
        <x:v>Home Appliances</x:v>
      </x:c>
      <x:c r="J941" s="25" t="str">
        <x:v>Microwave</x:v>
      </x:c>
      <x:c r="K941" s="25" t="n">
        <x:v>6</x:v>
      </x:c>
      <x:c r="L941" s="26" t="n">
        <x:v>5377</x:v>
      </x:c>
      <x:c r="M941" s="27" t="n">
        <x:v>0.1</x:v>
      </x:c>
      <x:c r="N941" s="26" t="n">
        <x:f>K941*L941</x:f>
        <x:v>32262</x:v>
      </x:c>
      <x:c r="O941" s="26" t="n">
        <x:f>N941*(1-M941)</x:f>
        <x:v>29035.8</x:v>
      </x:c>
      <x:c r="P941" s="26" t="n">
        <x:v>4503</x:v>
      </x:c>
      <x:c r="Q941" s="26" t="n">
        <x:f>K941*P941</x:f>
        <x:v>27018</x:v>
      </x:c>
      <x:c r="R941" s="26" t="n">
        <x:f>O941-Q941</x:f>
        <x:v>2017.7999999999993</x:v>
      </x:c>
      <x:c r="S941" s="28" t="n">
        <x:f>IF(O941=0,0,R941/O941)</x:f>
        <x:v>0.06949352179034156</x:v>
      </x:c>
      <x:c r="T941" s="25" t="str">
        <x:v>Cash</x:v>
      </x:c>
      <x:c r="U941" s="25" t="str">
        <x:v>Completed</x:v>
      </x:c>
      <x:c r="V941" s="29" t="n">
        <x:v>4</x:v>
      </x:c>
    </x:row>
    <x:row r="942">
      <x:c r="A942" s="23" t="str">
        <x:v>MAN-2025-00941</x:v>
      </x:c>
      <x:c r="B942" s="24" t="n">
        <x:v>46005</x:v>
      </x:c>
      <x:c r="C942" s="25" t="str">
        <x:v>Mansoura</x:v>
      </x:c>
      <x:c r="D942" s="25" t="str">
        <x:v>Sherbin</x:v>
      </x:c>
      <x:c r="E942" s="25" t="str">
        <x:v>Aya Farouk</x:v>
      </x:c>
      <x:c r="F942" s="25" t="str">
        <x:v>Salma Mansour</x:v>
      </x:c>
      <x:c r="G942" s="25" t="str">
        <x:v>Consumer</x:v>
      </x:c>
      <x:c r="H942" s="25" t="str">
        <x:v>Retail Store</x:v>
      </x:c>
      <x:c r="I942" s="25" t="str">
        <x:v>Office Supplies</x:v>
      </x:c>
      <x:c r="J942" s="25" t="str">
        <x:v>Printer</x:v>
      </x:c>
      <x:c r="K942" s="25" t="n">
        <x:v>5</x:v>
      </x:c>
      <x:c r="L942" s="26" t="n">
        <x:v>6549</x:v>
      </x:c>
      <x:c r="M942" s="27" t="n">
        <x:v>0.15</x:v>
      </x:c>
      <x:c r="N942" s="26" t="n">
        <x:f>K942*L942</x:f>
        <x:v>32745</x:v>
      </x:c>
      <x:c r="O942" s="26" t="n">
        <x:f>N942*(1-M942)</x:f>
        <x:v>27833.25</x:v>
      </x:c>
      <x:c r="P942" s="26" t="n">
        <x:v>5239</x:v>
      </x:c>
      <x:c r="Q942" s="26" t="n">
        <x:f>K942*P942</x:f>
        <x:v>26195</x:v>
      </x:c>
      <x:c r="R942" s="26" t="n">
        <x:f>O942-Q942</x:f>
        <x:v>1638.25</x:v>
      </x:c>
      <x:c r="S942" s="28" t="n">
        <x:f>IF(O942=0,0,R942/O942)</x:f>
        <x:v>0.05885945766304689</x:v>
      </x:c>
      <x:c r="T942" s="25" t="str">
        <x:v>Credit Card</x:v>
      </x:c>
      <x:c r="U942" s="25" t="str">
        <x:v>Completed</x:v>
      </x:c>
      <x:c r="V942" s="29" t="n">
        <x:v>5</x:v>
      </x:c>
    </x:row>
    <x:row r="943">
      <x:c r="A943" s="23" t="str">
        <x:v>MAN-2025-00942</x:v>
      </x:c>
      <x:c r="B943" s="24" t="n">
        <x:v>45791</x:v>
      </x:c>
      <x:c r="C943" s="25" t="str">
        <x:v>Mansoura</x:v>
      </x:c>
      <x:c r="D943" s="25" t="str">
        <x:v>Mansoura City</x:v>
      </x:c>
      <x:c r="E943" s="25" t="str">
        <x:v>Salma Mansour</x:v>
      </x:c>
      <x:c r="F943" s="25" t="str">
        <x:v>Farah Khalil</x:v>
      </x:c>
      <x:c r="G943" s="25" t="str">
        <x:v>Consumer</x:v>
      </x:c>
      <x:c r="H943" s="25" t="str">
        <x:v>Retail Store</x:v>
      </x:c>
      <x:c r="I943" s="25" t="str">
        <x:v>Office Supplies</x:v>
      </x:c>
      <x:c r="J943" s="25" t="str">
        <x:v>Paper Box</x:v>
      </x:c>
      <x:c r="K943" s="25" t="n">
        <x:v>1</x:v>
      </x:c>
      <x:c r="L943" s="26" t="n">
        <x:v>390</x:v>
      </x:c>
      <x:c r="M943" s="27" t="n">
        <x:v>0.05</x:v>
      </x:c>
      <x:c r="N943" s="26" t="n">
        <x:f>K943*L943</x:f>
        <x:v>390</x:v>
      </x:c>
      <x:c r="O943" s="26" t="n">
        <x:f>N943*(1-M943)</x:f>
        <x:v>370.5</x:v>
      </x:c>
      <x:c r="P943" s="26" t="n">
        <x:v>261</x:v>
      </x:c>
      <x:c r="Q943" s="26" t="n">
        <x:f>K943*P943</x:f>
        <x:v>261</x:v>
      </x:c>
      <x:c r="R943" s="26" t="n">
        <x:f>O943-Q943</x:f>
        <x:v>109.5</x:v>
      </x:c>
      <x:c r="S943" s="28" t="n">
        <x:f>IF(O943=0,0,R943/O943)</x:f>
        <x:v>0.29554655870445345</x:v>
      </x:c>
      <x:c r="T943" s="25" t="str">
        <x:v>Debit Card</x:v>
      </x:c>
      <x:c r="U943" s="25" t="str">
        <x:v>Completed</x:v>
      </x:c>
      <x:c r="V943" s="29" t="n">
        <x:v>4</x:v>
      </x:c>
    </x:row>
    <x:row r="944">
      <x:c r="A944" s="23" t="str">
        <x:v>MAN-2025-00943</x:v>
      </x:c>
      <x:c r="B944" s="24" t="n">
        <x:v>45816</x:v>
      </x:c>
      <x:c r="C944" s="25" t="str">
        <x:v>Mansoura</x:v>
      </x:c>
      <x:c r="D944" s="25" t="str">
        <x:v>Mansoura City</x:v>
      </x:c>
      <x:c r="E944" s="25" t="str">
        <x:v>Aya Farouk</x:v>
      </x:c>
      <x:c r="F944" s="25" t="str">
        <x:v>Farah Mansour</x:v>
      </x:c>
      <x:c r="G944" s="25" t="str">
        <x:v>Consumer</x:v>
      </x:c>
      <x:c r="H944" s="25" t="str">
        <x:v>Phone Order</x:v>
      </x:c>
      <x:c r="I944" s="25" t="str">
        <x:v>Office Supplies</x:v>
      </x:c>
      <x:c r="J944" s="25" t="str">
        <x:v>Printer</x:v>
      </x:c>
      <x:c r="K944" s="25" t="n">
        <x:v>6</x:v>
      </x:c>
      <x:c r="L944" s="26" t="n">
        <x:v>6204</x:v>
      </x:c>
      <x:c r="M944" s="27" t="n">
        <x:v>0.15</x:v>
      </x:c>
      <x:c r="N944" s="26" t="n">
        <x:f>K944*L944</x:f>
        <x:v>37224</x:v>
      </x:c>
      <x:c r="O944" s="26" t="n">
        <x:f>N944*(1-M944)</x:f>
        <x:v>31640.399999999998</x:v>
      </x:c>
      <x:c r="P944" s="26" t="n">
        <x:v>5236</x:v>
      </x:c>
      <x:c r="Q944" s="26" t="n">
        <x:f>K944*P944</x:f>
        <x:v>31416</x:v>
      </x:c>
      <x:c r="R944" s="26" t="n">
        <x:f>O944-Q944</x:f>
        <x:v>224.39999999999782</x:v>
      </x:c>
      <x:c r="S944" s="28" t="n">
        <x:f>IF(O944=0,0,R944/O944)</x:f>
        <x:v>0.007092198581560215</x:v>
      </x:c>
      <x:c r="T944" s="25" t="str">
        <x:v>Cash</x:v>
      </x:c>
      <x:c r="U944" s="25" t="str">
        <x:v>Cancelled</x:v>
      </x:c>
      <x:c r="V944" s="29" t="n">
        <x:v>4</x:v>
      </x:c>
    </x:row>
    <x:row r="945">
      <x:c r="A945" s="23" t="str">
        <x:v>MAN-2025-00944</x:v>
      </x:c>
      <x:c r="B945" s="24" t="n">
        <x:v>45768</x:v>
      </x:c>
      <x:c r="C945" s="25" t="str">
        <x:v>Mansoura</x:v>
      </x:c>
      <x:c r="D945" s="25" t="str">
        <x:v>Aga</x:v>
      </x:c>
      <x:c r="E945" s="25" t="str">
        <x:v>Salma Mansour</x:v>
      </x:c>
      <x:c r="F945" s="25" t="str">
        <x:v>Sara Hassan</x:v>
      </x:c>
      <x:c r="G945" s="25" t="str">
        <x:v>Consumer</x:v>
      </x:c>
      <x:c r="H945" s="25" t="str">
        <x:v>Retail Store</x:v>
      </x:c>
      <x:c r="I945" s="25" t="str">
        <x:v>Electronics</x:v>
      </x:c>
      <x:c r="J945" s="25" t="str">
        <x:v>Headphones</x:v>
      </x:c>
      <x:c r="K945" s="25" t="n">
        <x:v>2</x:v>
      </x:c>
      <x:c r="L945" s="26" t="n">
        <x:v>1585</x:v>
      </x:c>
      <x:c r="M945" s="27" t="n">
        <x:v>0.15</x:v>
      </x:c>
      <x:c r="N945" s="26" t="n">
        <x:f>K945*L945</x:f>
        <x:v>3170</x:v>
      </x:c>
      <x:c r="O945" s="26" t="n">
        <x:f>N945*(1-M945)</x:f>
        <x:v>2694.5</x:v>
      </x:c>
      <x:c r="P945" s="26" t="n">
        <x:v>1109</x:v>
      </x:c>
      <x:c r="Q945" s="26" t="n">
        <x:f>K945*P945</x:f>
        <x:v>2218</x:v>
      </x:c>
      <x:c r="R945" s="26" t="n">
        <x:f>O945-Q945</x:f>
        <x:v>476.5</x:v>
      </x:c>
      <x:c r="S945" s="28" t="n">
        <x:f>IF(O945=0,0,R945/O945)</x:f>
        <x:v>0.17684171460382261</x:v>
      </x:c>
      <x:c r="T945" s="25" t="str">
        <x:v>Digital Wallet</x:v>
      </x:c>
      <x:c r="U945" s="25" t="str">
        <x:v>Completed</x:v>
      </x:c>
      <x:c r="V945" s="29" t="n">
        <x:v>5</x:v>
      </x:c>
    </x:row>
    <x:row r="946">
      <x:c r="A946" s="23" t="str">
        <x:v>MAN-2025-00945</x:v>
      </x:c>
      <x:c r="B946" s="24" t="n">
        <x:v>45791</x:v>
      </x:c>
      <x:c r="C946" s="25" t="str">
        <x:v>Mansoura</x:v>
      </x:c>
      <x:c r="D946" s="25" t="str">
        <x:v>Mit Ghamr</x:v>
      </x:c>
      <x:c r="E946" s="25" t="str">
        <x:v>Aya Farouk</x:v>
      </x:c>
      <x:c r="F946" s="25" t="str">
        <x:v>Ali Samir</x:v>
      </x:c>
      <x:c r="G946" s="25" t="str">
        <x:v>Small Business</x:v>
      </x:c>
      <x:c r="H946" s="25" t="str">
        <x:v>Mobile App</x:v>
      </x:c>
      <x:c r="I946" s="25" t="str">
        <x:v>Furniture</x:v>
      </x:c>
      <x:c r="J946" s="25" t="str">
        <x:v>Desk</x:v>
      </x:c>
      <x:c r="K946" s="25" t="n">
        <x:v>2</x:v>
      </x:c>
      <x:c r="L946" s="26" t="n">
        <x:v>4921</x:v>
      </x:c>
      <x:c r="M946" s="27" t="n">
        <x:v>0</x:v>
      </x:c>
      <x:c r="N946" s="26" t="n">
        <x:f>K946*L946</x:f>
        <x:v>9842</x:v>
      </x:c>
      <x:c r="O946" s="26" t="n">
        <x:f>N946*(1-M946)</x:f>
        <x:v>9842</x:v>
      </x:c>
      <x:c r="P946" s="26" t="n">
        <x:v>3853</x:v>
      </x:c>
      <x:c r="Q946" s="26" t="n">
        <x:f>K946*P946</x:f>
        <x:v>7706</x:v>
      </x:c>
      <x:c r="R946" s="26" t="n">
        <x:f>O946-Q946</x:f>
        <x:v>2136</x:v>
      </x:c>
      <x:c r="S946" s="28" t="n">
        <x:f>IF(O946=0,0,R946/O946)</x:f>
        <x:v>0.2170290591343223</x:v>
      </x:c>
      <x:c r="T946" s="25" t="str">
        <x:v>Credit Card</x:v>
      </x:c>
      <x:c r="U946" s="25" t="str">
        <x:v>Completed</x:v>
      </x:c>
      <x:c r="V946" s="29" t="n">
        <x:v>4</x:v>
      </x:c>
    </x:row>
    <x:row r="947">
      <x:c r="A947" s="23" t="str">
        <x:v>MAN-2025-00946</x:v>
      </x:c>
      <x:c r="B947" s="24" t="n">
        <x:v>45823</x:v>
      </x:c>
      <x:c r="C947" s="25" t="str">
        <x:v>Mansoura</x:v>
      </x:c>
      <x:c r="D947" s="25" t="str">
        <x:v>Talkha</x:v>
      </x:c>
      <x:c r="E947" s="25" t="str">
        <x:v>Salma Mansour</x:v>
      </x:c>
      <x:c r="F947" s="25" t="str">
        <x:v>Farah Hassan</x:v>
      </x:c>
      <x:c r="G947" s="25" t="str">
        <x:v>Small Business</x:v>
      </x:c>
      <x:c r="H947" s="25" t="str">
        <x:v>Website</x:v>
      </x:c>
      <x:c r="I947" s="25" t="str">
        <x:v>Home Appliances</x:v>
      </x:c>
      <x:c r="J947" s="25" t="str">
        <x:v>Air Conditioner</x:v>
      </x:c>
      <x:c r="K947" s="25" t="n">
        <x:v>6</x:v>
      </x:c>
      <x:c r="L947" s="26" t="n">
        <x:v>21877</x:v>
      </x:c>
      <x:c r="M947" s="27" t="n">
        <x:v>0</x:v>
      </x:c>
      <x:c r="N947" s="26" t="n">
        <x:f>K947*L947</x:f>
        <x:v>131262</x:v>
      </x:c>
      <x:c r="O947" s="26" t="n">
        <x:f>N947*(1-M947)</x:f>
        <x:v>131262</x:v>
      </x:c>
      <x:c r="P947" s="26" t="n">
        <x:v>17874</x:v>
      </x:c>
      <x:c r="Q947" s="26" t="n">
        <x:f>K947*P947</x:f>
        <x:v>107244</x:v>
      </x:c>
      <x:c r="R947" s="26" t="n">
        <x:f>O947-Q947</x:f>
        <x:v>24018</x:v>
      </x:c>
      <x:c r="S947" s="28" t="n">
        <x:f>IF(O947=0,0,R947/O947)</x:f>
        <x:v>0.18297755633770627</x:v>
      </x:c>
      <x:c r="T947" s="25" t="str">
        <x:v>Debit Card</x:v>
      </x:c>
      <x:c r="U947" s="25" t="str">
        <x:v>Cancelled</x:v>
      </x:c>
      <x:c r="V947" s="29" t="n">
        <x:v>3</x:v>
      </x:c>
    </x:row>
    <x:row r="948">
      <x:c r="A948" s="23" t="str">
        <x:v>MAN-2025-00947</x:v>
      </x:c>
      <x:c r="B948" s="24" t="n">
        <x:v>45981</x:v>
      </x:c>
      <x:c r="C948" s="25" t="str">
        <x:v>Mansoura</x:v>
      </x:c>
      <x:c r="D948" s="25" t="str">
        <x:v>Sherbin</x:v>
      </x:c>
      <x:c r="E948" s="25" t="str">
        <x:v>Salma Mansour</x:v>
      </x:c>
      <x:c r="F948" s="25" t="str">
        <x:v>Farah Adel</x:v>
      </x:c>
      <x:c r="G948" s="25" t="str">
        <x:v>Consumer</x:v>
      </x:c>
      <x:c r="H948" s="25" t="str">
        <x:v>Website</x:v>
      </x:c>
      <x:c r="I948" s="25" t="str">
        <x:v>Furniture</x:v>
      </x:c>
      <x:c r="J948" s="25" t="str">
        <x:v>Bookshelf</x:v>
      </x:c>
      <x:c r="K948" s="25" t="n">
        <x:v>4</x:v>
      </x:c>
      <x:c r="L948" s="26" t="n">
        <x:v>3117</x:v>
      </x:c>
      <x:c r="M948" s="27" t="n">
        <x:v>0.15</x:v>
      </x:c>
      <x:c r="N948" s="26" t="n">
        <x:f>K948*L948</x:f>
        <x:v>12468</x:v>
      </x:c>
      <x:c r="O948" s="26" t="n">
        <x:f>N948*(1-M948)</x:f>
        <x:v>10597.8</x:v>
      </x:c>
      <x:c r="P948" s="26" t="n">
        <x:v>2210</x:v>
      </x:c>
      <x:c r="Q948" s="26" t="n">
        <x:f>K948*P948</x:f>
        <x:v>8840</x:v>
      </x:c>
      <x:c r="R948" s="26" t="n">
        <x:f>O948-Q948</x:f>
        <x:v>1757.7999999999993</x:v>
      </x:c>
      <x:c r="S948" s="28" t="n">
        <x:f>IF(O948=0,0,R948/O948)</x:f>
        <x:v>0.16586461341033037</x:v>
      </x:c>
      <x:c r="T948" s="25" t="str">
        <x:v>Cash</x:v>
      </x:c>
      <x:c r="U948" s="25" t="str">
        <x:v>Cancelled</x:v>
      </x:c>
      <x:c r="V948" s="29" t="n">
        <x:v>5</x:v>
      </x:c>
    </x:row>
    <x:row r="949">
      <x:c r="A949" s="23" t="str">
        <x:v>MAN-2025-00948</x:v>
      </x:c>
      <x:c r="B949" s="24" t="n">
        <x:v>45985</x:v>
      </x:c>
      <x:c r="C949" s="25" t="str">
        <x:v>Mansoura</x:v>
      </x:c>
      <x:c r="D949" s="25" t="str">
        <x:v>Mansoura City</x:v>
      </x:c>
      <x:c r="E949" s="25" t="str">
        <x:v>Salma Mansour</x:v>
      </x:c>
      <x:c r="F949" s="25" t="str">
        <x:v>Farah Tarek</x:v>
      </x:c>
      <x:c r="G949" s="25" t="str">
        <x:v>Small Business</x:v>
      </x:c>
      <x:c r="H949" s="25" t="str">
        <x:v>Retail Store</x:v>
      </x:c>
      <x:c r="I949" s="25" t="str">
        <x:v>Office Supplies</x:v>
      </x:c>
      <x:c r="J949" s="25" t="str">
        <x:v>Printer</x:v>
      </x:c>
      <x:c r="K949" s="25" t="n">
        <x:v>6</x:v>
      </x:c>
      <x:c r="L949" s="26" t="n">
        <x:v>6532</x:v>
      </x:c>
      <x:c r="M949" s="27" t="n">
        <x:v>0</x:v>
      </x:c>
      <x:c r="N949" s="26" t="n">
        <x:f>K949*L949</x:f>
        <x:v>39192</x:v>
      </x:c>
      <x:c r="O949" s="26" t="n">
        <x:f>N949*(1-M949)</x:f>
        <x:v>39192</x:v>
      </x:c>
      <x:c r="P949" s="26" t="n">
        <x:v>5451</x:v>
      </x:c>
      <x:c r="Q949" s="26" t="n">
        <x:f>K949*P949</x:f>
        <x:v>32706</x:v>
      </x:c>
      <x:c r="R949" s="26" t="n">
        <x:f>O949-Q949</x:f>
        <x:v>6486</x:v>
      </x:c>
      <x:c r="S949" s="28" t="n">
        <x:f>IF(O949=0,0,R949/O949)</x:f>
        <x:v>0.16549295774647887</x:v>
      </x:c>
      <x:c r="T949" s="25" t="str">
        <x:v>Bank Transfer</x:v>
      </x:c>
      <x:c r="U949" s="25" t="str">
        <x:v>Cancelled</x:v>
      </x:c>
      <x:c r="V949" s="29" t="n">
        <x:v>4</x:v>
      </x:c>
    </x:row>
    <x:row r="950">
      <x:c r="A950" s="23" t="str">
        <x:v>MAN-2025-00949</x:v>
      </x:c>
      <x:c r="B950" s="24" t="n">
        <x:v>45769</x:v>
      </x:c>
      <x:c r="C950" s="25" t="str">
        <x:v>Mansoura</x:v>
      </x:c>
      <x:c r="D950" s="25" t="str">
        <x:v>Aga</x:v>
      </x:c>
      <x:c r="E950" s="25" t="str">
        <x:v>Ali Sayed</x:v>
      </x:c>
      <x:c r="F950" s="25" t="str">
        <x:v>Mohamed Mansour</x:v>
      </x:c>
      <x:c r="G950" s="25" t="str">
        <x:v>Consumer</x:v>
      </x:c>
      <x:c r="H950" s="25" t="str">
        <x:v>Retail Store</x:v>
      </x:c>
      <x:c r="I950" s="25" t="str">
        <x:v>Home Appliances</x:v>
      </x:c>
      <x:c r="J950" s="25" t="str">
        <x:v>Air Conditioner</x:v>
      </x:c>
      <x:c r="K950" s="25" t="n">
        <x:v>2</x:v>
      </x:c>
      <x:c r="L950" s="26" t="n">
        <x:v>20633</x:v>
      </x:c>
      <x:c r="M950" s="27" t="n">
        <x:v>0</x:v>
      </x:c>
      <x:c r="N950" s="26" t="n">
        <x:f>K950*L950</x:f>
        <x:v>41266</x:v>
      </x:c>
      <x:c r="O950" s="26" t="n">
        <x:f>N950*(1-M950)</x:f>
        <x:v>41266</x:v>
      </x:c>
      <x:c r="P950" s="26" t="n">
        <x:v>17934</x:v>
      </x:c>
      <x:c r="Q950" s="26" t="n">
        <x:f>K950*P950</x:f>
        <x:v>35868</x:v>
      </x:c>
      <x:c r="R950" s="26" t="n">
        <x:f>O950-Q950</x:f>
        <x:v>5398</x:v>
      </x:c>
      <x:c r="S950" s="28" t="n">
        <x:f>IF(O950=0,0,R950/O950)</x:f>
        <x:v>0.13080986768768477</x:v>
      </x:c>
      <x:c r="T950" s="25" t="str">
        <x:v>Bank Transfer</x:v>
      </x:c>
      <x:c r="U950" s="25" t="str">
        <x:v>Completed</x:v>
      </x:c>
      <x:c r="V950" s="29" t="n">
        <x:v>5</x:v>
      </x:c>
    </x:row>
    <x:row r="951">
      <x:c r="A951" s="23" t="str">
        <x:v>MAN-2025-00950</x:v>
      </x:c>
      <x:c r="B951" s="24" t="n">
        <x:v>45717</x:v>
      </x:c>
      <x:c r="C951" s="25" t="str">
        <x:v>Mansoura</x:v>
      </x:c>
      <x:c r="D951" s="25" t="str">
        <x:v>Mit Ghamr</x:v>
      </x:c>
      <x:c r="E951" s="25" t="str">
        <x:v>Salma Mansour</x:v>
      </x:c>
      <x:c r="F951" s="25" t="str">
        <x:v>Mohamed Fathy</x:v>
      </x:c>
      <x:c r="G951" s="25" t="str">
        <x:v>Corporate</x:v>
      </x:c>
      <x:c r="H951" s="25" t="str">
        <x:v>Website</x:v>
      </x:c>
      <x:c r="I951" s="25" t="str">
        <x:v>Home Appliances</x:v>
      </x:c>
      <x:c r="J951" s="25" t="str">
        <x:v>Microwave</x:v>
      </x:c>
      <x:c r="K951" s="25" t="n">
        <x:v>2</x:v>
      </x:c>
      <x:c r="L951" s="26" t="n">
        <x:v>5595</x:v>
      </x:c>
      <x:c r="M951" s="27" t="n">
        <x:v>0.05</x:v>
      </x:c>
      <x:c r="N951" s="26" t="n">
        <x:f>K951*L951</x:f>
        <x:v>11190</x:v>
      </x:c>
      <x:c r="O951" s="26" t="n">
        <x:f>N951*(1-M951)</x:f>
        <x:v>10630.5</x:v>
      </x:c>
      <x:c r="P951" s="26" t="n">
        <x:v>4277</x:v>
      </x:c>
      <x:c r="Q951" s="26" t="n">
        <x:f>K951*P951</x:f>
        <x:v>8554</x:v>
      </x:c>
      <x:c r="R951" s="26" t="n">
        <x:f>O951-Q951</x:f>
        <x:v>2076.5</x:v>
      </x:c>
      <x:c r="S951" s="28" t="n">
        <x:f>IF(O951=0,0,R951/O951)</x:f>
        <x:v>0.1953341799539062</x:v>
      </x:c>
      <x:c r="T951" s="25" t="str">
        <x:v>Digital Wallet</x:v>
      </x:c>
      <x:c r="U951" s="25" t="str">
        <x:v>Cancelled</x:v>
      </x:c>
      <x:c r="V951" s="29" t="n">
        <x:v>4</x:v>
      </x:c>
    </x:row>
    <x:row r="952">
      <x:c r="A952" s="23" t="str">
        <x:v>MAN-2025-00951</x:v>
      </x:c>
      <x:c r="B952" s="24" t="n">
        <x:v>45894</x:v>
      </x:c>
      <x:c r="C952" s="25" t="str">
        <x:v>Mansoura</x:v>
      </x:c>
      <x:c r="D952" s="25" t="str">
        <x:v>Mansoura City</x:v>
      </x:c>
      <x:c r="E952" s="25" t="str">
        <x:v>Youssef Fathy</x:v>
      </x:c>
      <x:c r="F952" s="25" t="str">
        <x:v>Karim Nasser</x:v>
      </x:c>
      <x:c r="G952" s="25" t="str">
        <x:v>Consumer</x:v>
      </x:c>
      <x:c r="H952" s="25" t="str">
        <x:v>Mobile App</x:v>
      </x:c>
      <x:c r="I952" s="25" t="str">
        <x:v>Home Appliances</x:v>
      </x:c>
      <x:c r="J952" s="25" t="str">
        <x:v>Blender</x:v>
      </x:c>
      <x:c r="K952" s="25" t="n">
        <x:v>5</x:v>
      </x:c>
      <x:c r="L952" s="26" t="n">
        <x:v>1744</x:v>
      </x:c>
      <x:c r="M952" s="27" t="n">
        <x:v>0.05</x:v>
      </x:c>
      <x:c r="N952" s="26" t="n">
        <x:f>K952*L952</x:f>
        <x:v>8720</x:v>
      </x:c>
      <x:c r="O952" s="26" t="n">
        <x:f>N952*(1-M952)</x:f>
        <x:v>8284</x:v>
      </x:c>
      <x:c r="P952" s="26" t="n">
        <x:v>1232</x:v>
      </x:c>
      <x:c r="Q952" s="26" t="n">
        <x:f>K952*P952</x:f>
        <x:v>6160</x:v>
      </x:c>
      <x:c r="R952" s="26" t="n">
        <x:f>O952-Q952</x:f>
        <x:v>2124</x:v>
      </x:c>
      <x:c r="S952" s="28" t="n">
        <x:f>IF(O952=0,0,R952/O952)</x:f>
        <x:v>0.2563978754225012</x:v>
      </x:c>
      <x:c r="T952" s="25" t="str">
        <x:v>Cash</x:v>
      </x:c>
      <x:c r="U952" s="25" t="str">
        <x:v>Returned</x:v>
      </x:c>
      <x:c r="V952" s="29" t="n">
        <x:v>5</x:v>
      </x:c>
    </x:row>
    <x:row r="953">
      <x:c r="A953" s="23" t="str">
        <x:v>MAN-2025-00952</x:v>
      </x:c>
      <x:c r="B953" s="24" t="n">
        <x:v>45672</x:v>
      </x:c>
      <x:c r="C953" s="25" t="str">
        <x:v>Mansoura</x:v>
      </x:c>
      <x:c r="D953" s="25" t="str">
        <x:v>Mit Ghamr</x:v>
      </x:c>
      <x:c r="E953" s="25" t="str">
        <x:v>Salma Mansour</x:v>
      </x:c>
      <x:c r="F953" s="25" t="str">
        <x:v>Mariam Gamal</x:v>
      </x:c>
      <x:c r="G953" s="25" t="str">
        <x:v>Consumer</x:v>
      </x:c>
      <x:c r="H953" s="25" t="str">
        <x:v>Retail Store</x:v>
      </x:c>
      <x:c r="I953" s="25" t="str">
        <x:v>Office Supplies</x:v>
      </x:c>
      <x:c r="J953" s="25" t="str">
        <x:v>Printer</x:v>
      </x:c>
      <x:c r="K953" s="25" t="n">
        <x:v>6</x:v>
      </x:c>
      <x:c r="L953" s="26" t="n">
        <x:v>6557</x:v>
      </x:c>
      <x:c r="M953" s="27" t="n">
        <x:v>0.05</x:v>
      </x:c>
      <x:c r="N953" s="26" t="n">
        <x:f>K953*L953</x:f>
        <x:v>39342</x:v>
      </x:c>
      <x:c r="O953" s="26" t="n">
        <x:f>N953*(1-M953)</x:f>
        <x:v>37374.9</x:v>
      </x:c>
      <x:c r="P953" s="26" t="n">
        <x:v>5497</x:v>
      </x:c>
      <x:c r="Q953" s="26" t="n">
        <x:f>K953*P953</x:f>
        <x:v>32982</x:v>
      </x:c>
      <x:c r="R953" s="26" t="n">
        <x:f>O953-Q953</x:f>
        <x:v>4392.9000000000015</x:v>
      </x:c>
      <x:c r="S953" s="28" t="n">
        <x:f>IF(O953=0,0,R953/O953)</x:f>
        <x:v>0.11753610043103797</x:v>
      </x:c>
      <x:c r="T953" s="25" t="str">
        <x:v>Credit Card</x:v>
      </x:c>
      <x:c r="U953" s="25" t="str">
        <x:v>Completed</x:v>
      </x:c>
      <x:c r="V953" s="29" t="n">
        <x:v>5</x:v>
      </x:c>
    </x:row>
    <x:row r="954">
      <x:c r="A954" s="23" t="str">
        <x:v>MAN-2025-00953</x:v>
      </x:c>
      <x:c r="B954" s="24" t="n">
        <x:v>45733</x:v>
      </x:c>
      <x:c r="C954" s="25" t="str">
        <x:v>Mansoura</x:v>
      </x:c>
      <x:c r="D954" s="25" t="str">
        <x:v>Aga</x:v>
      </x:c>
      <x:c r="E954" s="25" t="str">
        <x:v>Ali Sayed</x:v>
      </x:c>
      <x:c r="F954" s="25" t="str">
        <x:v>Mohamed Tarek</x:v>
      </x:c>
      <x:c r="G954" s="25" t="str">
        <x:v>Corporate</x:v>
      </x:c>
      <x:c r="H954" s="25" t="str">
        <x:v>Mobile App</x:v>
      </x:c>
      <x:c r="I954" s="25" t="str">
        <x:v>Home Appliances</x:v>
      </x:c>
      <x:c r="J954" s="25" t="str">
        <x:v>Washing Machine</x:v>
      </x:c>
      <x:c r="K954" s="25" t="n">
        <x:v>6</x:v>
      </x:c>
      <x:c r="L954" s="26" t="n">
        <x:v>15706</x:v>
      </x:c>
      <x:c r="M954" s="27" t="n">
        <x:v>0.05</x:v>
      </x:c>
      <x:c r="N954" s="26" t="n">
        <x:f>K954*L954</x:f>
        <x:v>94236</x:v>
      </x:c>
      <x:c r="O954" s="26" t="n">
        <x:f>N954*(1-M954)</x:f>
        <x:v>89524.2</x:v>
      </x:c>
      <x:c r="P954" s="26" t="n">
        <x:v>14317</x:v>
      </x:c>
      <x:c r="Q954" s="26" t="n">
        <x:f>K954*P954</x:f>
        <x:v>85902</x:v>
      </x:c>
      <x:c r="R954" s="26" t="n">
        <x:f>O954-Q954</x:f>
        <x:v>3622.199999999997</x:v>
      </x:c>
      <x:c r="S954" s="28" t="n">
        <x:f>IF(O954=0,0,R954/O954)</x:f>
        <x:v>0.04046056820390461</x:v>
      </x:c>
      <x:c r="T954" s="25" t="str">
        <x:v>Digital Wallet</x:v>
      </x:c>
      <x:c r="U954" s="25" t="str">
        <x:v>Completed</x:v>
      </x:c>
      <x:c r="V954" s="29" t="n">
        <x:v>3</x:v>
      </x:c>
    </x:row>
    <x:row r="955">
      <x:c r="A955" s="23" t="str">
        <x:v>MAN-2025-00954</x:v>
      </x:c>
      <x:c r="B955" s="24" t="n">
        <x:v>45896</x:v>
      </x:c>
      <x:c r="C955" s="25" t="str">
        <x:v>Mansoura</x:v>
      </x:c>
      <x:c r="D955" s="25" t="str">
        <x:v>Sherbin</x:v>
      </x:c>
      <x:c r="E955" s="25" t="str">
        <x:v>Youssef Fathy</x:v>
      </x:c>
      <x:c r="F955" s="25" t="str">
        <x:v>Hana Farouk</x:v>
      </x:c>
      <x:c r="G955" s="25" t="str">
        <x:v>Consumer</x:v>
      </x:c>
      <x:c r="H955" s="25" t="str">
        <x:v>Website</x:v>
      </x:c>
      <x:c r="I955" s="25" t="str">
        <x:v>Electronics</x:v>
      </x:c>
      <x:c r="J955" s="25" t="str">
        <x:v>Tablet</x:v>
      </x:c>
      <x:c r="K955" s="25" t="n">
        <x:v>5</x:v>
      </x:c>
      <x:c r="L955" s="26" t="n">
        <x:v>9473</x:v>
      </x:c>
      <x:c r="M955" s="27" t="n">
        <x:v>0.1</x:v>
      </x:c>
      <x:c r="N955" s="26" t="n">
        <x:f>K955*L955</x:f>
        <x:v>47365</x:v>
      </x:c>
      <x:c r="O955" s="26" t="n">
        <x:f>N955*(1-M955)</x:f>
        <x:v>42628.5</x:v>
      </x:c>
      <x:c r="P955" s="26" t="n">
        <x:v>7349</x:v>
      </x:c>
      <x:c r="Q955" s="26" t="n">
        <x:f>K955*P955</x:f>
        <x:v>36745</x:v>
      </x:c>
      <x:c r="R955" s="26" t="n">
        <x:f>O955-Q955</x:f>
        <x:v>5883.5</x:v>
      </x:c>
      <x:c r="S955" s="28" t="n">
        <x:f>IF(O955=0,0,R955/O955)</x:f>
        <x:v>0.1380179926574944</x:v>
      </x:c>
      <x:c r="T955" s="25" t="str">
        <x:v>Debit Card</x:v>
      </x:c>
      <x:c r="U955" s="25" t="str">
        <x:v>Completed</x:v>
      </x:c>
      <x:c r="V955" s="29" t="n">
        <x:v>5</x:v>
      </x:c>
    </x:row>
    <x:row r="956">
      <x:c r="A956" s="23" t="str">
        <x:v>MAN-2025-00955</x:v>
      </x:c>
      <x:c r="B956" s="24" t="n">
        <x:v>45855</x:v>
      </x:c>
      <x:c r="C956" s="25" t="str">
        <x:v>Mansoura</x:v>
      </x:c>
      <x:c r="D956" s="25" t="str">
        <x:v>Talkha</x:v>
      </x:c>
      <x:c r="E956" s="25" t="str">
        <x:v>Ali Sayed</x:v>
      </x:c>
      <x:c r="F956" s="25" t="str">
        <x:v>Farah Tarek</x:v>
      </x:c>
      <x:c r="G956" s="25" t="str">
        <x:v>Small Business</x:v>
      </x:c>
      <x:c r="H956" s="25" t="str">
        <x:v>Website</x:v>
      </x:c>
      <x:c r="I956" s="25" t="str">
        <x:v>Home Appliances</x:v>
      </x:c>
      <x:c r="J956" s="25" t="str">
        <x:v>Washing Machine</x:v>
      </x:c>
      <x:c r="K956" s="25" t="n">
        <x:v>5</x:v>
      </x:c>
      <x:c r="L956" s="26" t="n">
        <x:v>15430</x:v>
      </x:c>
      <x:c r="M956" s="27" t="n">
        <x:v>0</x:v>
      </x:c>
      <x:c r="N956" s="26" t="n">
        <x:f>K956*L956</x:f>
        <x:v>77150</x:v>
      </x:c>
      <x:c r="O956" s="26" t="n">
        <x:f>N956*(1-M956)</x:f>
        <x:v>77150</x:v>
      </x:c>
      <x:c r="P956" s="26" t="n">
        <x:v>14573</x:v>
      </x:c>
      <x:c r="Q956" s="26" t="n">
        <x:f>K956*P956</x:f>
        <x:v>72865</x:v>
      </x:c>
      <x:c r="R956" s="26" t="n">
        <x:f>O956-Q956</x:f>
        <x:v>4285</x:v>
      </x:c>
      <x:c r="S956" s="28" t="n">
        <x:f>IF(O956=0,0,R956/O956)</x:f>
        <x:v>0.05554115359688918</x:v>
      </x:c>
      <x:c r="T956" s="25" t="str">
        <x:v>Cash</x:v>
      </x:c>
      <x:c r="U956" s="25" t="str">
        <x:v>Returned</x:v>
      </x:c>
      <x:c r="V956" s="29" t="n">
        <x:v>3</x:v>
      </x:c>
    </x:row>
    <x:row r="957">
      <x:c r="A957" s="23" t="str">
        <x:v>MAN-2025-00956</x:v>
      </x:c>
      <x:c r="B957" s="24" t="n">
        <x:v>45999</x:v>
      </x:c>
      <x:c r="C957" s="25" t="str">
        <x:v>Mansoura</x:v>
      </x:c>
      <x:c r="D957" s="25" t="str">
        <x:v>Mansoura City</x:v>
      </x:c>
      <x:c r="E957" s="25" t="str">
        <x:v>Ali Sayed</x:v>
      </x:c>
      <x:c r="F957" s="25" t="str">
        <x:v>Hana Farouk</x:v>
      </x:c>
      <x:c r="G957" s="25" t="str">
        <x:v>Consumer</x:v>
      </x:c>
      <x:c r="H957" s="25" t="str">
        <x:v>Website</x:v>
      </x:c>
      <x:c r="I957" s="25" t="str">
        <x:v>Home Appliances</x:v>
      </x:c>
      <x:c r="J957" s="25" t="str">
        <x:v>Air Conditioner</x:v>
      </x:c>
      <x:c r="K957" s="25" t="n">
        <x:v>6</x:v>
      </x:c>
      <x:c r="L957" s="26" t="n">
        <x:v>19715</x:v>
      </x:c>
      <x:c r="M957" s="27" t="n">
        <x:v>0</x:v>
      </x:c>
      <x:c r="N957" s="26" t="n">
        <x:f>K957*L957</x:f>
        <x:v>118290</x:v>
      </x:c>
      <x:c r="O957" s="26" t="n">
        <x:f>N957*(1-M957)</x:f>
        <x:v>118290</x:v>
      </x:c>
      <x:c r="P957" s="26" t="n">
        <x:v>17777</x:v>
      </x:c>
      <x:c r="Q957" s="26" t="n">
        <x:f>K957*P957</x:f>
        <x:v>106662</x:v>
      </x:c>
      <x:c r="R957" s="26" t="n">
        <x:f>O957-Q957</x:f>
        <x:v>11628</x:v>
      </x:c>
      <x:c r="S957" s="28" t="n">
        <x:f>IF(O957=0,0,R957/O957)</x:f>
        <x:v>0.09830078620339842</x:v>
      </x:c>
      <x:c r="T957" s="25" t="str">
        <x:v>Credit Card</x:v>
      </x:c>
      <x:c r="U957" s="25" t="str">
        <x:v>Completed</x:v>
      </x:c>
      <x:c r="V957" s="29" t="n">
        <x:v>4</x:v>
      </x:c>
    </x:row>
    <x:row r="958">
      <x:c r="A958" s="23" t="str">
        <x:v>MAN-2025-00957</x:v>
      </x:c>
      <x:c r="B958" s="24" t="n">
        <x:v>45726</x:v>
      </x:c>
      <x:c r="C958" s="25" t="str">
        <x:v>Mansoura</x:v>
      </x:c>
      <x:c r="D958" s="25" t="str">
        <x:v>Aga</x:v>
      </x:c>
      <x:c r="E958" s="25" t="str">
        <x:v>Salma Mansour</x:v>
      </x:c>
      <x:c r="F958" s="25" t="str">
        <x:v>Nour Fathy</x:v>
      </x:c>
      <x:c r="G958" s="25" t="str">
        <x:v>Consumer</x:v>
      </x:c>
      <x:c r="H958" s="25" t="str">
        <x:v>Website</x:v>
      </x:c>
      <x:c r="I958" s="25" t="str">
        <x:v>Home Appliances</x:v>
      </x:c>
      <x:c r="J958" s="25" t="str">
        <x:v>Washing Machine</x:v>
      </x:c>
      <x:c r="K958" s="25" t="n">
        <x:v>5</x:v>
      </x:c>
      <x:c r="L958" s="26" t="n">
        <x:v>15390</x:v>
      </x:c>
      <x:c r="M958" s="27" t="n">
        <x:v>0.1</x:v>
      </x:c>
      <x:c r="N958" s="26" t="n">
        <x:f>K958*L958</x:f>
        <x:v>76950</x:v>
      </x:c>
      <x:c r="O958" s="26" t="n">
        <x:f>N958*(1-M958)</x:f>
        <x:v>69255</x:v>
      </x:c>
      <x:c r="P958" s="26" t="n">
        <x:v>13791</x:v>
      </x:c>
      <x:c r="Q958" s="26" t="n">
        <x:f>K958*P958</x:f>
        <x:v>68955</x:v>
      </x:c>
      <x:c r="R958" s="26" t="n">
        <x:f>O958-Q958</x:f>
        <x:v>300</x:v>
      </x:c>
      <x:c r="S958" s="28" t="n">
        <x:f>IF(O958=0,0,R958/O958)</x:f>
        <x:v>0.004331817197314273</x:v>
      </x:c>
      <x:c r="T958" s="25" t="str">
        <x:v>Bank Transfer</x:v>
      </x:c>
      <x:c r="U958" s="25" t="str">
        <x:v>Completed</x:v>
      </x:c>
      <x:c r="V958" s="29" t="n">
        <x:v>5</x:v>
      </x:c>
    </x:row>
    <x:row r="959">
      <x:c r="A959" s="23" t="str">
        <x:v>MAN-2025-00958</x:v>
      </x:c>
      <x:c r="B959" s="24" t="n">
        <x:v>45837</x:v>
      </x:c>
      <x:c r="C959" s="25" t="str">
        <x:v>Mansoura</x:v>
      </x:c>
      <x:c r="D959" s="25" t="str">
        <x:v>Mit Ghamr</x:v>
      </x:c>
      <x:c r="E959" s="25" t="str">
        <x:v>Youssef Fathy</x:v>
      </x:c>
      <x:c r="F959" s="25" t="str">
        <x:v>Sara Mansour</x:v>
      </x:c>
      <x:c r="G959" s="25" t="str">
        <x:v>Consumer</x:v>
      </x:c>
      <x:c r="H959" s="25" t="str">
        <x:v>Retail Store</x:v>
      </x:c>
      <x:c r="I959" s="25" t="str">
        <x:v>Electronics</x:v>
      </x:c>
      <x:c r="J959" s="25" t="str">
        <x:v>Headphones</x:v>
      </x:c>
      <x:c r="K959" s="25" t="n">
        <x:v>2</x:v>
      </x:c>
      <x:c r="L959" s="26" t="n">
        <x:v>1718</x:v>
      </x:c>
      <x:c r="M959" s="27" t="n">
        <x:v>0.05</x:v>
      </x:c>
      <x:c r="N959" s="26" t="n">
        <x:f>K959*L959</x:f>
        <x:v>3436</x:v>
      </x:c>
      <x:c r="O959" s="26" t="n">
        <x:f>N959*(1-M959)</x:f>
        <x:v>3264.2</x:v>
      </x:c>
      <x:c r="P959" s="26" t="n">
        <x:v>1081</x:v>
      </x:c>
      <x:c r="Q959" s="26" t="n">
        <x:f>K959*P959</x:f>
        <x:v>2162</x:v>
      </x:c>
      <x:c r="R959" s="26" t="n">
        <x:f>O959-Q959</x:f>
        <x:v>1102.1999999999998</x:v>
      </x:c>
      <x:c r="S959" s="28" t="n">
        <x:f>IF(O959=0,0,R959/O959)</x:f>
        <x:v>0.3376631333864346</x:v>
      </x:c>
      <x:c r="T959" s="25" t="str">
        <x:v>Cash</x:v>
      </x:c>
      <x:c r="U959" s="25" t="str">
        <x:v>Completed</x:v>
      </x:c>
      <x:c r="V959" s="29" t="n">
        <x:v>5</x:v>
      </x:c>
    </x:row>
    <x:row r="960">
      <x:c r="A960" s="23" t="str">
        <x:v>MAN-2025-00959</x:v>
      </x:c>
      <x:c r="B960" s="24" t="n">
        <x:v>45848</x:v>
      </x:c>
      <x:c r="C960" s="25" t="str">
        <x:v>Mansoura</x:v>
      </x:c>
      <x:c r="D960" s="25" t="str">
        <x:v>Talkha</x:v>
      </x:c>
      <x:c r="E960" s="25" t="str">
        <x:v>Youssef Fathy</x:v>
      </x:c>
      <x:c r="F960" s="25" t="str">
        <x:v>Mostafa Samir</x:v>
      </x:c>
      <x:c r="G960" s="25" t="str">
        <x:v>Consumer</x:v>
      </x:c>
      <x:c r="H960" s="25" t="str">
        <x:v>Retail Store</x:v>
      </x:c>
      <x:c r="I960" s="25" t="str">
        <x:v>Home Appliances</x:v>
      </x:c>
      <x:c r="J960" s="25" t="str">
        <x:v>Air Conditioner</x:v>
      </x:c>
      <x:c r="K960" s="25" t="n">
        <x:v>6</x:v>
      </x:c>
      <x:c r="L960" s="26" t="n">
        <x:v>21168</x:v>
      </x:c>
      <x:c r="M960" s="27" t="n">
        <x:v>0.05</x:v>
      </x:c>
      <x:c r="N960" s="26" t="n">
        <x:f>K960*L960</x:f>
        <x:v>127008</x:v>
      </x:c>
      <x:c r="O960" s="26" t="n">
        <x:f>N960*(1-M960)</x:f>
        <x:v>120657.59999999999</x:v>
      </x:c>
      <x:c r="P960" s="26" t="n">
        <x:v>17561</x:v>
      </x:c>
      <x:c r="Q960" s="26" t="n">
        <x:f>K960*P960</x:f>
        <x:v>105366</x:v>
      </x:c>
      <x:c r="R960" s="26" t="n">
        <x:f>O960-Q960</x:f>
        <x:v>15291.599999999991</x:v>
      </x:c>
      <x:c r="S960" s="28" t="n">
        <x:f>IF(O960=0,0,R960/O960)</x:f>
        <x:v>0.12673548951744434</x:v>
      </x:c>
      <x:c r="T960" s="25" t="str">
        <x:v>Debit Card</x:v>
      </x:c>
      <x:c r="U960" s="25" t="str">
        <x:v>Completed</x:v>
      </x:c>
      <x:c r="V960" s="29" t="n">
        <x:v>4</x:v>
      </x:c>
    </x:row>
    <x:row r="961">
      <x:c r="A961" s="23" t="str">
        <x:v>MAN-2025-00960</x:v>
      </x:c>
      <x:c r="B961" s="24" t="n">
        <x:v>46018</x:v>
      </x:c>
      <x:c r="C961" s="25" t="str">
        <x:v>Mansoura</x:v>
      </x:c>
      <x:c r="D961" s="25" t="str">
        <x:v>Aga</x:v>
      </x:c>
      <x:c r="E961" s="25" t="str">
        <x:v>Salma Mansour</x:v>
      </x:c>
      <x:c r="F961" s="25" t="str">
        <x:v>Ahmed Khalil</x:v>
      </x:c>
      <x:c r="G961" s="25" t="str">
        <x:v>Consumer</x:v>
      </x:c>
      <x:c r="H961" s="25" t="str">
        <x:v>Retail Store</x:v>
      </x:c>
      <x:c r="I961" s="25" t="str">
        <x:v>Office Supplies</x:v>
      </x:c>
      <x:c r="J961" s="25" t="str">
        <x:v>Calculator</x:v>
      </x:c>
      <x:c r="K961" s="25" t="n">
        <x:v>6</x:v>
      </x:c>
      <x:c r="L961" s="26" t="n">
        <x:v>461</x:v>
      </x:c>
      <x:c r="M961" s="27" t="n">
        <x:v>0.05</x:v>
      </x:c>
      <x:c r="N961" s="26" t="n">
        <x:f>K961*L961</x:f>
        <x:v>2766</x:v>
      </x:c>
      <x:c r="O961" s="26" t="n">
        <x:f>N961*(1-M961)</x:f>
        <x:v>2627.7</x:v>
      </x:c>
      <x:c r="P961" s="26" t="n">
        <x:v>290</x:v>
      </x:c>
      <x:c r="Q961" s="26" t="n">
        <x:f>K961*P961</x:f>
        <x:v>1740</x:v>
      </x:c>
      <x:c r="R961" s="26" t="n">
        <x:f>O961-Q961</x:f>
        <x:v>887.6999999999998</x:v>
      </x:c>
      <x:c r="S961" s="28" t="n">
        <x:f>IF(O961=0,0,R961/O961)</x:f>
        <x:v>0.3378239525059938</x:v>
      </x:c>
      <x:c r="T961" s="25" t="str">
        <x:v>Debit Card</x:v>
      </x:c>
      <x:c r="U961" s="25" t="str">
        <x:v>Completed</x:v>
      </x:c>
      <x:c r="V961" s="29" t="n">
        <x:v>4</x:v>
      </x:c>
    </x:row>
    <x:row r="962">
      <x:c r="A962" s="23" t="str">
        <x:v>MAN-2025-00961</x:v>
      </x:c>
      <x:c r="B962" s="24" t="n">
        <x:v>45689</x:v>
      </x:c>
      <x:c r="C962" s="25" t="str">
        <x:v>Mansoura</x:v>
      </x:c>
      <x:c r="D962" s="25" t="str">
        <x:v>Aga</x:v>
      </x:c>
      <x:c r="E962" s="25" t="str">
        <x:v>Salma Mansour</x:v>
      </x:c>
      <x:c r="F962" s="25" t="str">
        <x:v>Nour Nasser</x:v>
      </x:c>
      <x:c r="G962" s="25" t="str">
        <x:v>Corporate</x:v>
      </x:c>
      <x:c r="H962" s="25" t="str">
        <x:v>Mobile App</x:v>
      </x:c>
      <x:c r="I962" s="25" t="str">
        <x:v>Electronics</x:v>
      </x:c>
      <x:c r="J962" s="25" t="str">
        <x:v>Headphones</x:v>
      </x:c>
      <x:c r="K962" s="25" t="n">
        <x:v>2</x:v>
      </x:c>
      <x:c r="L962" s="26" t="n">
        <x:v>1729</x:v>
      </x:c>
      <x:c r="M962" s="27" t="n">
        <x:v>0</x:v>
      </x:c>
      <x:c r="N962" s="26" t="n">
        <x:f>K962*L962</x:f>
        <x:v>3458</x:v>
      </x:c>
      <x:c r="O962" s="26" t="n">
        <x:f>N962*(1-M962)</x:f>
        <x:v>3458</x:v>
      </x:c>
      <x:c r="P962" s="26" t="n">
        <x:v>1086</x:v>
      </x:c>
      <x:c r="Q962" s="26" t="n">
        <x:f>K962*P962</x:f>
        <x:v>2172</x:v>
      </x:c>
      <x:c r="R962" s="26" t="n">
        <x:f>O962-Q962</x:f>
        <x:v>1286</x:v>
      </x:c>
      <x:c r="S962" s="28" t="n">
        <x:f>IF(O962=0,0,R962/O962)</x:f>
        <x:v>0.37189126662810873</x:v>
      </x:c>
      <x:c r="T962" s="25" t="str">
        <x:v>Bank Transfer</x:v>
      </x:c>
      <x:c r="U962" s="25" t="str">
        <x:v>Completed</x:v>
      </x:c>
      <x:c r="V962" s="29" t="n">
        <x:v>4</x:v>
      </x:c>
    </x:row>
    <x:row r="963">
      <x:c r="A963" s="23" t="str">
        <x:v>MAN-2025-00962</x:v>
      </x:c>
      <x:c r="B963" s="24" t="n">
        <x:v>45769</x:v>
      </x:c>
      <x:c r="C963" s="25" t="str">
        <x:v>Mansoura</x:v>
      </x:c>
      <x:c r="D963" s="25" t="str">
        <x:v>Mansoura City</x:v>
      </x:c>
      <x:c r="E963" s="25" t="str">
        <x:v>Ali Sayed</x:v>
      </x:c>
      <x:c r="F963" s="25" t="str">
        <x:v>Sara Mansour</x:v>
      </x:c>
      <x:c r="G963" s="25" t="str">
        <x:v>Consumer</x:v>
      </x:c>
      <x:c r="H963" s="25" t="str">
        <x:v>Website</x:v>
      </x:c>
      <x:c r="I963" s="25" t="str">
        <x:v>Electronics</x:v>
      </x:c>
      <x:c r="J963" s="25" t="str">
        <x:v>Smartphone</x:v>
      </x:c>
      <x:c r="K963" s="25" t="n">
        <x:v>2</x:v>
      </x:c>
      <x:c r="L963" s="26" t="n">
        <x:v>13805</x:v>
      </x:c>
      <x:c r="M963" s="27" t="n">
        <x:v>0.1</x:v>
      </x:c>
      <x:c r="N963" s="26" t="n">
        <x:f>K963*L963</x:f>
        <x:v>27610</x:v>
      </x:c>
      <x:c r="O963" s="26" t="n">
        <x:f>N963*(1-M963)</x:f>
        <x:v>24849</x:v>
      </x:c>
      <x:c r="P963" s="26" t="n">
        <x:v>10728</x:v>
      </x:c>
      <x:c r="Q963" s="26" t="n">
        <x:f>K963*P963</x:f>
        <x:v>21456</x:v>
      </x:c>
      <x:c r="R963" s="26" t="n">
        <x:f>O963-Q963</x:f>
        <x:v>3393</x:v>
      </x:c>
      <x:c r="S963" s="28" t="n">
        <x:f>IF(O963=0,0,R963/O963)</x:f>
        <x:v>0.13654473017022817</x:v>
      </x:c>
      <x:c r="T963" s="25" t="str">
        <x:v>Credit Card</x:v>
      </x:c>
      <x:c r="U963" s="25" t="str">
        <x:v>Returned</x:v>
      </x:c>
      <x:c r="V963" s="29" t="n">
        <x:v>5</x:v>
      </x:c>
    </x:row>
    <x:row r="964">
      <x:c r="A964" s="23" t="str">
        <x:v>MAN-2025-00963</x:v>
      </x:c>
      <x:c r="B964" s="24" t="n">
        <x:v>45666</x:v>
      </x:c>
      <x:c r="C964" s="25" t="str">
        <x:v>Mansoura</x:v>
      </x:c>
      <x:c r="D964" s="25" t="str">
        <x:v>Mansoura City</x:v>
      </x:c>
      <x:c r="E964" s="25" t="str">
        <x:v>Youssef Fathy</x:v>
      </x:c>
      <x:c r="F964" s="25" t="str">
        <x:v>Mostafa Sayed</x:v>
      </x:c>
      <x:c r="G964" s="25" t="str">
        <x:v>Small Business</x:v>
      </x:c>
      <x:c r="H964" s="25" t="str">
        <x:v>Retail Store</x:v>
      </x:c>
      <x:c r="I964" s="25" t="str">
        <x:v>Office Supplies</x:v>
      </x:c>
      <x:c r="J964" s="25" t="str">
        <x:v>Paper Box</x:v>
      </x:c>
      <x:c r="K964" s="25" t="n">
        <x:v>2</x:v>
      </x:c>
      <x:c r="L964" s="26" t="n">
        <x:v>355</x:v>
      </x:c>
      <x:c r="M964" s="27" t="n">
        <x:v>0</x:v>
      </x:c>
      <x:c r="N964" s="26" t="n">
        <x:f>K964*L964</x:f>
        <x:v>710</x:v>
      </x:c>
      <x:c r="O964" s="26" t="n">
        <x:f>N964*(1-M964)</x:f>
        <x:v>710</x:v>
      </x:c>
      <x:c r="P964" s="26" t="n">
        <x:v>253</x:v>
      </x:c>
      <x:c r="Q964" s="26" t="n">
        <x:f>K964*P964</x:f>
        <x:v>506</x:v>
      </x:c>
      <x:c r="R964" s="26" t="n">
        <x:f>O964-Q964</x:f>
        <x:v>204</x:v>
      </x:c>
      <x:c r="S964" s="28" t="n">
        <x:f>IF(O964=0,0,R964/O964)</x:f>
        <x:v>0.28732394366197184</x:v>
      </x:c>
      <x:c r="T964" s="25" t="str">
        <x:v>Credit Card</x:v>
      </x:c>
      <x:c r="U964" s="25" t="str">
        <x:v>Returned</x:v>
      </x:c>
      <x:c r="V964" s="29" t="n">
        <x:v>3</x:v>
      </x:c>
    </x:row>
    <x:row r="965">
      <x:c r="A965" s="23" t="str">
        <x:v>MAN-2025-00964</x:v>
      </x:c>
      <x:c r="B965" s="24" t="n">
        <x:v>45898</x:v>
      </x:c>
      <x:c r="C965" s="25" t="str">
        <x:v>Mansoura</x:v>
      </x:c>
      <x:c r="D965" s="25" t="str">
        <x:v>Talkha</x:v>
      </x:c>
      <x:c r="E965" s="25" t="str">
        <x:v>Ali Sayed</x:v>
      </x:c>
      <x:c r="F965" s="25" t="str">
        <x:v>Amr Samir</x:v>
      </x:c>
      <x:c r="G965" s="25" t="str">
        <x:v>Corporate</x:v>
      </x:c>
      <x:c r="H965" s="25" t="str">
        <x:v>Phone Order</x:v>
      </x:c>
      <x:c r="I965" s="25" t="str">
        <x:v>Electronics</x:v>
      </x:c>
      <x:c r="J965" s="25" t="str">
        <x:v>Headphones</x:v>
      </x:c>
      <x:c r="K965" s="25" t="n">
        <x:v>3</x:v>
      </x:c>
      <x:c r="L965" s="26" t="n">
        <x:v>1600</x:v>
      </x:c>
      <x:c r="M965" s="27" t="n">
        <x:v>0</x:v>
      </x:c>
      <x:c r="N965" s="26" t="n">
        <x:f>K965*L965</x:f>
        <x:v>4800</x:v>
      </x:c>
      <x:c r="O965" s="26" t="n">
        <x:f>N965*(1-M965)</x:f>
        <x:v>4800</x:v>
      </x:c>
      <x:c r="P965" s="26" t="n">
        <x:v>1088</x:v>
      </x:c>
      <x:c r="Q965" s="26" t="n">
        <x:f>K965*P965</x:f>
        <x:v>3264</x:v>
      </x:c>
      <x:c r="R965" s="26" t="n">
        <x:f>O965-Q965</x:f>
        <x:v>1536</x:v>
      </x:c>
      <x:c r="S965" s="28" t="n">
        <x:f>IF(O965=0,0,R965/O965)</x:f>
        <x:v>0.32</x:v>
      </x:c>
      <x:c r="T965" s="25" t="str">
        <x:v>Cash</x:v>
      </x:c>
      <x:c r="U965" s="25" t="str">
        <x:v>Completed</x:v>
      </x:c>
      <x:c r="V965" s="29" t="n">
        <x:v>5</x:v>
      </x:c>
    </x:row>
    <x:row r="966">
      <x:c r="A966" s="23" t="str">
        <x:v>MAN-2025-00965</x:v>
      </x:c>
      <x:c r="B966" s="24" t="n">
        <x:v>45824</x:v>
      </x:c>
      <x:c r="C966" s="25" t="str">
        <x:v>Mansoura</x:v>
      </x:c>
      <x:c r="D966" s="25" t="str">
        <x:v>Mit Ghamr</x:v>
      </x:c>
      <x:c r="E966" s="25" t="str">
        <x:v>Salma Mansour</x:v>
      </x:c>
      <x:c r="F966" s="25" t="str">
        <x:v>Karim Fathy</x:v>
      </x:c>
      <x:c r="G966" s="25" t="str">
        <x:v>Small Business</x:v>
      </x:c>
      <x:c r="H966" s="25" t="str">
        <x:v>Website</x:v>
      </x:c>
      <x:c r="I966" s="25" t="str">
        <x:v>Home Appliances</x:v>
      </x:c>
      <x:c r="J966" s="25" t="str">
        <x:v>Washing Machine</x:v>
      </x:c>
      <x:c r="K966" s="25" t="n">
        <x:v>1</x:v>
      </x:c>
      <x:c r="L966" s="26" t="n">
        <x:v>16245</x:v>
      </x:c>
      <x:c r="M966" s="27" t="n">
        <x:v>0</x:v>
      </x:c>
      <x:c r="N966" s="26" t="n">
        <x:f>K966*L966</x:f>
        <x:v>16245</x:v>
      </x:c>
      <x:c r="O966" s="26" t="n">
        <x:f>N966*(1-M966)</x:f>
        <x:v>16245</x:v>
      </x:c>
      <x:c r="P966" s="26" t="n">
        <x:v>14044</x:v>
      </x:c>
      <x:c r="Q966" s="26" t="n">
        <x:f>K966*P966</x:f>
        <x:v>14044</x:v>
      </x:c>
      <x:c r="R966" s="26" t="n">
        <x:f>O966-Q966</x:f>
        <x:v>2201</x:v>
      </x:c>
      <x:c r="S966" s="28" t="n">
        <x:f>IF(O966=0,0,R966/O966)</x:f>
        <x:v>0.13548784241305017</x:v>
      </x:c>
      <x:c r="T966" s="25" t="str">
        <x:v>Debit Card</x:v>
      </x:c>
      <x:c r="U966" s="25" t="str">
        <x:v>Cancelled</x:v>
      </x:c>
      <x:c r="V966" s="29" t="n">
        <x:v>4</x:v>
      </x:c>
    </x:row>
    <x:row r="967">
      <x:c r="A967" s="23" t="str">
        <x:v>MAN-2025-00966</x:v>
      </x:c>
      <x:c r="B967" s="24" t="n">
        <x:v>45871</x:v>
      </x:c>
      <x:c r="C967" s="25" t="str">
        <x:v>Mansoura</x:v>
      </x:c>
      <x:c r="D967" s="25" t="str">
        <x:v>Mit Ghamr</x:v>
      </x:c>
      <x:c r="E967" s="25" t="str">
        <x:v>Salma Mansour</x:v>
      </x:c>
      <x:c r="F967" s="25" t="str">
        <x:v>Aya Mansour</x:v>
      </x:c>
      <x:c r="G967" s="25" t="str">
        <x:v>Consumer</x:v>
      </x:c>
      <x:c r="H967" s="25" t="str">
        <x:v>Retail Store</x:v>
      </x:c>
      <x:c r="I967" s="25" t="str">
        <x:v>Home Appliances</x:v>
      </x:c>
      <x:c r="J967" s="25" t="str">
        <x:v>Microwave</x:v>
      </x:c>
      <x:c r="K967" s="25" t="n">
        <x:v>2</x:v>
      </x:c>
      <x:c r="L967" s="26" t="n">
        <x:v>5927</x:v>
      </x:c>
      <x:c r="M967" s="27" t="n">
        <x:v>0.05</x:v>
      </x:c>
      <x:c r="N967" s="26" t="n">
        <x:f>K967*L967</x:f>
        <x:v>11854</x:v>
      </x:c>
      <x:c r="O967" s="26" t="n">
        <x:f>N967*(1-M967)</x:f>
        <x:v>11261.3</x:v>
      </x:c>
      <x:c r="P967" s="26" t="n">
        <x:v>4444</x:v>
      </x:c>
      <x:c r="Q967" s="26" t="n">
        <x:f>K967*P967</x:f>
        <x:v>8888</x:v>
      </x:c>
      <x:c r="R967" s="26" t="n">
        <x:f>O967-Q967</x:f>
        <x:v>2373.2999999999993</x:v>
      </x:c>
      <x:c r="S967" s="28" t="n">
        <x:f>IF(O967=0,0,R967/O967)</x:f>
        <x:v>0.21074831502579627</x:v>
      </x:c>
      <x:c r="T967" s="25" t="str">
        <x:v>Credit Card</x:v>
      </x:c>
      <x:c r="U967" s="25" t="str">
        <x:v>Completed</x:v>
      </x:c>
      <x:c r="V967" s="29" t="n">
        <x:v>3</x:v>
      </x:c>
    </x:row>
    <x:row r="968">
      <x:c r="A968" s="23" t="str">
        <x:v>MAN-2025-00967</x:v>
      </x:c>
      <x:c r="B968" s="24" t="n">
        <x:v>45819</x:v>
      </x:c>
      <x:c r="C968" s="25" t="str">
        <x:v>Mansoura</x:v>
      </x:c>
      <x:c r="D968" s="25" t="str">
        <x:v>Aga</x:v>
      </x:c>
      <x:c r="E968" s="25" t="str">
        <x:v>Ali Sayed</x:v>
      </x:c>
      <x:c r="F968" s="25" t="str">
        <x:v>Salma Gamal</x:v>
      </x:c>
      <x:c r="G968" s="25" t="str">
        <x:v>Consumer</x:v>
      </x:c>
      <x:c r="H968" s="25" t="str">
        <x:v>Retail Store</x:v>
      </x:c>
      <x:c r="I968" s="25" t="str">
        <x:v>Electronics</x:v>
      </x:c>
      <x:c r="J968" s="25" t="str">
        <x:v>Headphones</x:v>
      </x:c>
      <x:c r="K968" s="25" t="n">
        <x:v>1</x:v>
      </x:c>
      <x:c r="L968" s="26" t="n">
        <x:v>1603</x:v>
      </x:c>
      <x:c r="M968" s="27" t="n">
        <x:v>0.05</x:v>
      </x:c>
      <x:c r="N968" s="26" t="n">
        <x:f>K968*L968</x:f>
        <x:v>1603</x:v>
      </x:c>
      <x:c r="O968" s="26" t="n">
        <x:f>N968*(1-M968)</x:f>
        <x:v>1522.85</x:v>
      </x:c>
      <x:c r="P968" s="26" t="n">
        <x:v>1134</x:v>
      </x:c>
      <x:c r="Q968" s="26" t="n">
        <x:f>K968*P968</x:f>
        <x:v>1134</x:v>
      </x:c>
      <x:c r="R968" s="26" t="n">
        <x:f>O968-Q968</x:f>
        <x:v>388.8499999999999</x:v>
      </x:c>
      <x:c r="S968" s="28" t="n">
        <x:f>IF(O968=0,0,R968/O968)</x:f>
        <x:v>0.25534359917260396</x:v>
      </x:c>
      <x:c r="T968" s="25" t="str">
        <x:v>Cash</x:v>
      </x:c>
      <x:c r="U968" s="25" t="str">
        <x:v>Cancelled</x:v>
      </x:c>
      <x:c r="V968" s="29" t="n">
        <x:v>4</x:v>
      </x:c>
    </x:row>
    <x:row r="969">
      <x:c r="A969" s="23" t="str">
        <x:v>MAN-2025-00968</x:v>
      </x:c>
      <x:c r="B969" s="24" t="n">
        <x:v>45889</x:v>
      </x:c>
      <x:c r="C969" s="25" t="str">
        <x:v>Mansoura</x:v>
      </x:c>
      <x:c r="D969" s="25" t="str">
        <x:v>Sherbin</x:v>
      </x:c>
      <x:c r="E969" s="25" t="str">
        <x:v>Salma Mansour</x:v>
      </x:c>
      <x:c r="F969" s="25" t="str">
        <x:v>Hana Adel</x:v>
      </x:c>
      <x:c r="G969" s="25" t="str">
        <x:v>Small Business</x:v>
      </x:c>
      <x:c r="H969" s="25" t="str">
        <x:v>Mobile App</x:v>
      </x:c>
      <x:c r="I969" s="25" t="str">
        <x:v>Furniture</x:v>
      </x:c>
      <x:c r="J969" s="25" t="str">
        <x:v>Office Chair</x:v>
      </x:c>
      <x:c r="K969" s="25" t="n">
        <x:v>2</x:v>
      </x:c>
      <x:c r="L969" s="26" t="n">
        <x:v>3772</x:v>
      </x:c>
      <x:c r="M969" s="27" t="n">
        <x:v>0.15</x:v>
      </x:c>
      <x:c r="N969" s="26" t="n">
        <x:f>K969*L969</x:f>
        <x:v>7544</x:v>
      </x:c>
      <x:c r="O969" s="26" t="n">
        <x:f>N969*(1-M969)</x:f>
        <x:v>6412.4</x:v>
      </x:c>
      <x:c r="P969" s="26" t="n">
        <x:v>2927</x:v>
      </x:c>
      <x:c r="Q969" s="26" t="n">
        <x:f>K969*P969</x:f>
        <x:v>5854</x:v>
      </x:c>
      <x:c r="R969" s="26" t="n">
        <x:f>O969-Q969</x:f>
        <x:v>558.3999999999996</x:v>
      </x:c>
      <x:c r="S969" s="28" t="n">
        <x:f>IF(O969=0,0,R969/O969)</x:f>
        <x:v>0.08708128001996128</x:v>
      </x:c>
      <x:c r="T969" s="25" t="str">
        <x:v>Digital Wallet</x:v>
      </x:c>
      <x:c r="U969" s="25" t="str">
        <x:v>Completed</x:v>
      </x:c>
      <x:c r="V969" s="29" t="n">
        <x:v>4</x:v>
      </x:c>
    </x:row>
    <x:row r="970">
      <x:c r="A970" s="23" t="str">
        <x:v>MAN-2025-00969</x:v>
      </x:c>
      <x:c r="B970" s="24" t="n">
        <x:v>45930</x:v>
      </x:c>
      <x:c r="C970" s="25" t="str">
        <x:v>Mansoura</x:v>
      </x:c>
      <x:c r="D970" s="25" t="str">
        <x:v>Mit Ghamr</x:v>
      </x:c>
      <x:c r="E970" s="25" t="str">
        <x:v>Youssef Fathy</x:v>
      </x:c>
      <x:c r="F970" s="25" t="str">
        <x:v>Hana Nasser</x:v>
      </x:c>
      <x:c r="G970" s="25" t="str">
        <x:v>Consumer</x:v>
      </x:c>
      <x:c r="H970" s="25" t="str">
        <x:v>Retail Store</x:v>
      </x:c>
      <x:c r="I970" s="25" t="str">
        <x:v>Furniture</x:v>
      </x:c>
      <x:c r="J970" s="25" t="str">
        <x:v>Desk</x:v>
      </x:c>
      <x:c r="K970" s="25" t="n">
        <x:v>1</x:v>
      </x:c>
      <x:c r="L970" s="26" t="n">
        <x:v>4911</x:v>
      </x:c>
      <x:c r="M970" s="27" t="n">
        <x:v>0.05</x:v>
      </x:c>
      <x:c r="N970" s="26" t="n">
        <x:f>K970*L970</x:f>
        <x:v>4911</x:v>
      </x:c>
      <x:c r="O970" s="26" t="n">
        <x:f>N970*(1-M970)</x:f>
        <x:v>4665.45</x:v>
      </x:c>
      <x:c r="P970" s="26" t="n">
        <x:v>3952</x:v>
      </x:c>
      <x:c r="Q970" s="26" t="n">
        <x:f>K970*P970</x:f>
        <x:v>3952</x:v>
      </x:c>
      <x:c r="R970" s="26" t="n">
        <x:f>O970-Q970</x:f>
        <x:v>713.4499999999998</x:v>
      </x:c>
      <x:c r="S970" s="28" t="n">
        <x:f>IF(O970=0,0,R970/O970)</x:f>
        <x:v>0.15292201181022191</x:v>
      </x:c>
      <x:c r="T970" s="25" t="str">
        <x:v>Digital Wallet</x:v>
      </x:c>
      <x:c r="U970" s="25" t="str">
        <x:v>Completed</x:v>
      </x:c>
      <x:c r="V970" s="29" t="n">
        <x:v>3</x:v>
      </x:c>
    </x:row>
    <x:row r="971">
      <x:c r="A971" s="23" t="str">
        <x:v>MAN-2025-00970</x:v>
      </x:c>
      <x:c r="B971" s="24" t="n">
        <x:v>45694</x:v>
      </x:c>
      <x:c r="C971" s="25" t="str">
        <x:v>Mansoura</x:v>
      </x:c>
      <x:c r="D971" s="25" t="str">
        <x:v>Talkha</x:v>
      </x:c>
      <x:c r="E971" s="25" t="str">
        <x:v>Youssef Fathy</x:v>
      </x:c>
      <x:c r="F971" s="25" t="str">
        <x:v>Aya Fathy</x:v>
      </x:c>
      <x:c r="G971" s="25" t="str">
        <x:v>Corporate</x:v>
      </x:c>
      <x:c r="H971" s="25" t="str">
        <x:v>Retail Store</x:v>
      </x:c>
      <x:c r="I971" s="25" t="str">
        <x:v>Office Supplies</x:v>
      </x:c>
      <x:c r="J971" s="25" t="str">
        <x:v>Calculator</x:v>
      </x:c>
      <x:c r="K971" s="25" t="n">
        <x:v>1</x:v>
      </x:c>
      <x:c r="L971" s="26" t="n">
        <x:v>432</x:v>
      </x:c>
      <x:c r="M971" s="27" t="n">
        <x:v>0</x:v>
      </x:c>
      <x:c r="N971" s="26" t="n">
        <x:f>K971*L971</x:f>
        <x:v>432</x:v>
      </x:c>
      <x:c r="O971" s="26" t="n">
        <x:f>N971*(1-M971)</x:f>
        <x:v>432</x:v>
      </x:c>
      <x:c r="P971" s="26" t="n">
        <x:v>277</x:v>
      </x:c>
      <x:c r="Q971" s="26" t="n">
        <x:f>K971*P971</x:f>
        <x:v>277</x:v>
      </x:c>
      <x:c r="R971" s="26" t="n">
        <x:f>O971-Q971</x:f>
        <x:v>155</x:v>
      </x:c>
      <x:c r="S971" s="28" t="n">
        <x:f>IF(O971=0,0,R971/O971)</x:f>
        <x:v>0.3587962962962963</x:v>
      </x:c>
      <x:c r="T971" s="25" t="str">
        <x:v>Credit Card</x:v>
      </x:c>
      <x:c r="U971" s="25" t="str">
        <x:v>Returned</x:v>
      </x:c>
      <x:c r="V971" s="29" t="n">
        <x:v>5</x:v>
      </x:c>
    </x:row>
    <x:row r="972">
      <x:c r="A972" s="23" t="str">
        <x:v>MAN-2025-00971</x:v>
      </x:c>
      <x:c r="B972" s="24" t="n">
        <x:v>45754</x:v>
      </x:c>
      <x:c r="C972" s="25" t="str">
        <x:v>Mansoura</x:v>
      </x:c>
      <x:c r="D972" s="25" t="str">
        <x:v>Mit Ghamr</x:v>
      </x:c>
      <x:c r="E972" s="25" t="str">
        <x:v>Salma Mansour</x:v>
      </x:c>
      <x:c r="F972" s="25" t="str">
        <x:v>Nour Ibrahim</x:v>
      </x:c>
      <x:c r="G972" s="25" t="str">
        <x:v>Consumer</x:v>
      </x:c>
      <x:c r="H972" s="25" t="str">
        <x:v>Mobile App</x:v>
      </x:c>
      <x:c r="I972" s="25" t="str">
        <x:v>Home Appliances</x:v>
      </x:c>
      <x:c r="J972" s="25" t="str">
        <x:v>Microwave</x:v>
      </x:c>
      <x:c r="K972" s="25" t="n">
        <x:v>2</x:v>
      </x:c>
      <x:c r="L972" s="26" t="n">
        <x:v>5451</x:v>
      </x:c>
      <x:c r="M972" s="27" t="n">
        <x:v>0.15</x:v>
      </x:c>
      <x:c r="N972" s="26" t="n">
        <x:f>K972*L972</x:f>
        <x:v>10902</x:v>
      </x:c>
      <x:c r="O972" s="26" t="n">
        <x:f>N972*(1-M972)</x:f>
        <x:v>9266.699999999999</x:v>
      </x:c>
      <x:c r="P972" s="26" t="n">
        <x:v>4313</x:v>
      </x:c>
      <x:c r="Q972" s="26" t="n">
        <x:f>K972*P972</x:f>
        <x:v>8626</x:v>
      </x:c>
      <x:c r="R972" s="26" t="n">
        <x:f>O972-Q972</x:f>
        <x:v>640.6999999999989</x:v>
      </x:c>
      <x:c r="S972" s="28" t="n">
        <x:f>IF(O972=0,0,R972/O972)</x:f>
        <x:v>0.06914003906460757</x:v>
      </x:c>
      <x:c r="T972" s="25" t="str">
        <x:v>Credit Card</x:v>
      </x:c>
      <x:c r="U972" s="25" t="str">
        <x:v>Cancelled</x:v>
      </x:c>
      <x:c r="V972" s="29" t="n">
        <x:v>3</x:v>
      </x:c>
    </x:row>
    <x:row r="973">
      <x:c r="A973" s="23" t="str">
        <x:v>MAN-2025-00972</x:v>
      </x:c>
      <x:c r="B973" s="24" t="n">
        <x:v>45830</x:v>
      </x:c>
      <x:c r="C973" s="25" t="str">
        <x:v>Mansoura</x:v>
      </x:c>
      <x:c r="D973" s="25" t="str">
        <x:v>Mit Ghamr</x:v>
      </x:c>
      <x:c r="E973" s="25" t="str">
        <x:v>Salma Mansour</x:v>
      </x:c>
      <x:c r="F973" s="25" t="str">
        <x:v>Karim Nasser</x:v>
      </x:c>
      <x:c r="G973" s="25" t="str">
        <x:v>Consumer</x:v>
      </x:c>
      <x:c r="H973" s="25" t="str">
        <x:v>Website</x:v>
      </x:c>
      <x:c r="I973" s="25" t="str">
        <x:v>Furniture</x:v>
      </x:c>
      <x:c r="J973" s="25" t="str">
        <x:v>Desk</x:v>
      </x:c>
      <x:c r="K973" s="25" t="n">
        <x:v>1</x:v>
      </x:c>
      <x:c r="L973" s="26" t="n">
        <x:v>5037</x:v>
      </x:c>
      <x:c r="M973" s="27" t="n">
        <x:v>0</x:v>
      </x:c>
      <x:c r="N973" s="26" t="n">
        <x:f>K973*L973</x:f>
        <x:v>5037</x:v>
      </x:c>
      <x:c r="O973" s="26" t="n">
        <x:f>N973*(1-M973)</x:f>
        <x:v>5037</x:v>
      </x:c>
      <x:c r="P973" s="26" t="n">
        <x:v>4009</x:v>
      </x:c>
      <x:c r="Q973" s="26" t="n">
        <x:f>K973*P973</x:f>
        <x:v>4009</x:v>
      </x:c>
      <x:c r="R973" s="26" t="n">
        <x:f>O973-Q973</x:f>
        <x:v>1028</x:v>
      </x:c>
      <x:c r="S973" s="28" t="n">
        <x:f>IF(O973=0,0,R973/O973)</x:f>
        <x:v>0.20408973595394084</x:v>
      </x:c>
      <x:c r="T973" s="25" t="str">
        <x:v>Debit Card</x:v>
      </x:c>
      <x:c r="U973" s="25" t="str">
        <x:v>Completed</x:v>
      </x:c>
      <x:c r="V973" s="29" t="n">
        <x:v>4</x:v>
      </x:c>
    </x:row>
    <x:row r="974">
      <x:c r="A974" s="23" t="str">
        <x:v>MAN-2025-00973</x:v>
      </x:c>
      <x:c r="B974" s="24" t="n">
        <x:v>45766</x:v>
      </x:c>
      <x:c r="C974" s="25" t="str">
        <x:v>Mansoura</x:v>
      </x:c>
      <x:c r="D974" s="25" t="str">
        <x:v>Mansoura City</x:v>
      </x:c>
      <x:c r="E974" s="25" t="str">
        <x:v>Ali Sayed</x:v>
      </x:c>
      <x:c r="F974" s="25" t="str">
        <x:v>Omar Gamal</x:v>
      </x:c>
      <x:c r="G974" s="25" t="str">
        <x:v>Consumer</x:v>
      </x:c>
      <x:c r="H974" s="25" t="str">
        <x:v>Phone Order</x:v>
      </x:c>
      <x:c r="I974" s="25" t="str">
        <x:v>Office Supplies</x:v>
      </x:c>
      <x:c r="J974" s="25" t="str">
        <x:v>Calculator</x:v>
      </x:c>
      <x:c r="K974" s="25" t="n">
        <x:v>3</x:v>
      </x:c>
      <x:c r="L974" s="26" t="n">
        <x:v>442</x:v>
      </x:c>
      <x:c r="M974" s="27" t="n">
        <x:v>0</x:v>
      </x:c>
      <x:c r="N974" s="26" t="n">
        <x:f>K974*L974</x:f>
        <x:v>1326</x:v>
      </x:c>
      <x:c r="O974" s="26" t="n">
        <x:f>N974*(1-M974)</x:f>
        <x:v>1326</x:v>
      </x:c>
      <x:c r="P974" s="26" t="n">
        <x:v>279</x:v>
      </x:c>
      <x:c r="Q974" s="26" t="n">
        <x:f>K974*P974</x:f>
        <x:v>837</x:v>
      </x:c>
      <x:c r="R974" s="26" t="n">
        <x:f>O974-Q974</x:f>
        <x:v>489</x:v>
      </x:c>
      <x:c r="S974" s="28" t="n">
        <x:f>IF(O974=0,0,R974/O974)</x:f>
        <x:v>0.36877828054298645</x:v>
      </x:c>
      <x:c r="T974" s="25" t="str">
        <x:v>Cash</x:v>
      </x:c>
      <x:c r="U974" s="25" t="str">
        <x:v>Completed</x:v>
      </x:c>
      <x:c r="V974" s="29" t="n">
        <x:v>5</x:v>
      </x:c>
    </x:row>
    <x:row r="975">
      <x:c r="A975" s="23" t="str">
        <x:v>MAN-2025-00974</x:v>
      </x:c>
      <x:c r="B975" s="24" t="n">
        <x:v>45897</x:v>
      </x:c>
      <x:c r="C975" s="25" t="str">
        <x:v>Mansoura</x:v>
      </x:c>
      <x:c r="D975" s="25" t="str">
        <x:v>Aga</x:v>
      </x:c>
      <x:c r="E975" s="25" t="str">
        <x:v>Youssef Fathy</x:v>
      </x:c>
      <x:c r="F975" s="25" t="str">
        <x:v>Mahmoud Mansour</x:v>
      </x:c>
      <x:c r="G975" s="25" t="str">
        <x:v>Small Business</x:v>
      </x:c>
      <x:c r="H975" s="25" t="str">
        <x:v>Mobile App</x:v>
      </x:c>
      <x:c r="I975" s="25" t="str">
        <x:v>Furniture</x:v>
      </x:c>
      <x:c r="J975" s="25" t="str">
        <x:v>Desk</x:v>
      </x:c>
      <x:c r="K975" s="25" t="n">
        <x:v>6</x:v>
      </x:c>
      <x:c r="L975" s="26" t="n">
        <x:v>5273</x:v>
      </x:c>
      <x:c r="M975" s="27" t="n">
        <x:v>0</x:v>
      </x:c>
      <x:c r="N975" s="26" t="n">
        <x:f>K975*L975</x:f>
        <x:v>31638</x:v>
      </x:c>
      <x:c r="O975" s="26" t="n">
        <x:f>N975*(1-M975)</x:f>
        <x:v>31638</x:v>
      </x:c>
      <x:c r="P975" s="26" t="n">
        <x:v>3905</x:v>
      </x:c>
      <x:c r="Q975" s="26" t="n">
        <x:f>K975*P975</x:f>
        <x:v>23430</x:v>
      </x:c>
      <x:c r="R975" s="26" t="n">
        <x:f>O975-Q975</x:f>
        <x:v>8208</x:v>
      </x:c>
      <x:c r="S975" s="28" t="n">
        <x:f>IF(O975=0,0,R975/O975)</x:f>
        <x:v>0.2594348568177508</x:v>
      </x:c>
      <x:c r="T975" s="25" t="str">
        <x:v>Bank Transfer</x:v>
      </x:c>
      <x:c r="U975" s="25" t="str">
        <x:v>Completed</x:v>
      </x:c>
      <x:c r="V975" s="29" t="n">
        <x:v>5</x:v>
      </x:c>
    </x:row>
    <x:row r="976">
      <x:c r="A976" s="23" t="str">
        <x:v>MAN-2025-00975</x:v>
      </x:c>
      <x:c r="B976" s="24" t="n">
        <x:v>45801</x:v>
      </x:c>
      <x:c r="C976" s="25" t="str">
        <x:v>Mansoura</x:v>
      </x:c>
      <x:c r="D976" s="25" t="str">
        <x:v>Talkha</x:v>
      </x:c>
      <x:c r="E976" s="25" t="str">
        <x:v>Aya Farouk</x:v>
      </x:c>
      <x:c r="F976" s="25" t="str">
        <x:v>Mostafa Fathy</x:v>
      </x:c>
      <x:c r="G976" s="25" t="str">
        <x:v>Small Business</x:v>
      </x:c>
      <x:c r="H976" s="25" t="str">
        <x:v>Website</x:v>
      </x:c>
      <x:c r="I976" s="25" t="str">
        <x:v>Electronics</x:v>
      </x:c>
      <x:c r="J976" s="25" t="str">
        <x:v>Tablet</x:v>
      </x:c>
      <x:c r="K976" s="25" t="n">
        <x:v>6</x:v>
      </x:c>
      <x:c r="L976" s="26" t="n">
        <x:v>8558</x:v>
      </x:c>
      <x:c r="M976" s="27" t="n">
        <x:v>0.05</x:v>
      </x:c>
      <x:c r="N976" s="26" t="n">
        <x:f>K976*L976</x:f>
        <x:v>51348</x:v>
      </x:c>
      <x:c r="O976" s="26" t="n">
        <x:f>N976*(1-M976)</x:f>
        <x:v>48780.6</x:v>
      </x:c>
      <x:c r="P976" s="26" t="n">
        <x:v>7199</x:v>
      </x:c>
      <x:c r="Q976" s="26" t="n">
        <x:f>K976*P976</x:f>
        <x:v>43194</x:v>
      </x:c>
      <x:c r="R976" s="26" t="n">
        <x:f>O976-Q976</x:f>
        <x:v>5586.5999999999985</x:v>
      </x:c>
      <x:c r="S976" s="28" t="n">
        <x:f>IF(O976=0,0,R976/O976)</x:f>
        <x:v>0.11452503659241581</x:v>
      </x:c>
      <x:c r="T976" s="25" t="str">
        <x:v>Cash</x:v>
      </x:c>
      <x:c r="U976" s="25" t="str">
        <x:v>Completed</x:v>
      </x:c>
      <x:c r="V976" s="29" t="n">
        <x:v>3</x:v>
      </x:c>
    </x:row>
    <x:row r="977">
      <x:c r="A977" s="23" t="str">
        <x:v>MAN-2025-00976</x:v>
      </x:c>
      <x:c r="B977" s="24" t="n">
        <x:v>45678</x:v>
      </x:c>
      <x:c r="C977" s="25" t="str">
        <x:v>Mansoura</x:v>
      </x:c>
      <x:c r="D977" s="25" t="str">
        <x:v>Mansoura City</x:v>
      </x:c>
      <x:c r="E977" s="25" t="str">
        <x:v>Ali Sayed</x:v>
      </x:c>
      <x:c r="F977" s="25" t="str">
        <x:v>Sara Farouk</x:v>
      </x:c>
      <x:c r="G977" s="25" t="str">
        <x:v>Consumer</x:v>
      </x:c>
      <x:c r="H977" s="25" t="str">
        <x:v>Retail Store</x:v>
      </x:c>
      <x:c r="I977" s="25" t="str">
        <x:v>Office Supplies</x:v>
      </x:c>
      <x:c r="J977" s="25" t="str">
        <x:v>Calculator</x:v>
      </x:c>
      <x:c r="K977" s="25" t="n">
        <x:v>1</x:v>
      </x:c>
      <x:c r="L977" s="26" t="n">
        <x:v>432</x:v>
      </x:c>
      <x:c r="M977" s="27" t="n">
        <x:v>0</x:v>
      </x:c>
      <x:c r="N977" s="26" t="n">
        <x:f>K977*L977</x:f>
        <x:v>432</x:v>
      </x:c>
      <x:c r="O977" s="26" t="n">
        <x:f>N977*(1-M977)</x:f>
        <x:v>432</x:v>
      </x:c>
      <x:c r="P977" s="26" t="n">
        <x:v>278</x:v>
      </x:c>
      <x:c r="Q977" s="26" t="n">
        <x:f>K977*P977</x:f>
        <x:v>278</x:v>
      </x:c>
      <x:c r="R977" s="26" t="n">
        <x:f>O977-Q977</x:f>
        <x:v>154</x:v>
      </x:c>
      <x:c r="S977" s="28" t="n">
        <x:f>IF(O977=0,0,R977/O977)</x:f>
        <x:v>0.35648148148148145</x:v>
      </x:c>
      <x:c r="T977" s="25" t="str">
        <x:v>Bank Transfer</x:v>
      </x:c>
      <x:c r="U977" s="25" t="str">
        <x:v>Returned</x:v>
      </x:c>
      <x:c r="V977" s="29" t="n">
        <x:v>4</x:v>
      </x:c>
    </x:row>
    <x:row r="978">
      <x:c r="A978" s="23" t="str">
        <x:v>MAN-2025-00977</x:v>
      </x:c>
      <x:c r="B978" s="24" t="n">
        <x:v>45970</x:v>
      </x:c>
      <x:c r="C978" s="25" t="str">
        <x:v>Mansoura</x:v>
      </x:c>
      <x:c r="D978" s="25" t="str">
        <x:v>Mit Ghamr</x:v>
      </x:c>
      <x:c r="E978" s="25" t="str">
        <x:v>Ali Sayed</x:v>
      </x:c>
      <x:c r="F978" s="25" t="str">
        <x:v>Ali Khalil</x:v>
      </x:c>
      <x:c r="G978" s="25" t="str">
        <x:v>Consumer</x:v>
      </x:c>
      <x:c r="H978" s="25" t="str">
        <x:v>Retail Store</x:v>
      </x:c>
      <x:c r="I978" s="25" t="str">
        <x:v>Electronics</x:v>
      </x:c>
      <x:c r="J978" s="25" t="str">
        <x:v>Smartphone</x:v>
      </x:c>
      <x:c r="K978" s="25" t="n">
        <x:v>6</x:v>
      </x:c>
      <x:c r="L978" s="26" t="n">
        <x:v>13231</x:v>
      </x:c>
      <x:c r="M978" s="27" t="n">
        <x:v>0.1</x:v>
      </x:c>
      <x:c r="N978" s="26" t="n">
        <x:f>K978*L978</x:f>
        <x:v>79386</x:v>
      </x:c>
      <x:c r="O978" s="26" t="n">
        <x:f>N978*(1-M978)</x:f>
        <x:v>71447.40000000001</x:v>
      </x:c>
      <x:c r="P978" s="26" t="n">
        <x:v>11164</x:v>
      </x:c>
      <x:c r="Q978" s="26" t="n">
        <x:f>K978*P978</x:f>
        <x:v>66984</x:v>
      </x:c>
      <x:c r="R978" s="26" t="n">
        <x:f>O978-Q978</x:f>
        <x:v>4463.400000000009</x:v>
      </x:c>
      <x:c r="S978" s="28" t="n">
        <x:f>IF(O978=0,0,R978/O978)</x:f>
        <x:v>0.062471132609444265</x:v>
      </x:c>
      <x:c r="T978" s="25" t="str">
        <x:v>Bank Transfer</x:v>
      </x:c>
      <x:c r="U978" s="25" t="str">
        <x:v>Completed</x:v>
      </x:c>
      <x:c r="V978" s="29" t="n">
        <x:v>5</x:v>
      </x:c>
    </x:row>
    <x:row r="979">
      <x:c r="A979" s="23" t="str">
        <x:v>MAN-2025-00978</x:v>
      </x:c>
      <x:c r="B979" s="24" t="n">
        <x:v>45731</x:v>
      </x:c>
      <x:c r="C979" s="25" t="str">
        <x:v>Mansoura</x:v>
      </x:c>
      <x:c r="D979" s="25" t="str">
        <x:v>Talkha</x:v>
      </x:c>
      <x:c r="E979" s="25" t="str">
        <x:v>Aya Farouk</x:v>
      </x:c>
      <x:c r="F979" s="25" t="str">
        <x:v>Omar Sayed</x:v>
      </x:c>
      <x:c r="G979" s="25" t="str">
        <x:v>Consumer</x:v>
      </x:c>
      <x:c r="H979" s="25" t="str">
        <x:v>Website</x:v>
      </x:c>
      <x:c r="I979" s="25" t="str">
        <x:v>Home Appliances</x:v>
      </x:c>
      <x:c r="J979" s="25" t="str">
        <x:v>Microwave</x:v>
      </x:c>
      <x:c r="K979" s="25" t="n">
        <x:v>2</x:v>
      </x:c>
      <x:c r="L979" s="26" t="n">
        <x:v>5917</x:v>
      </x:c>
      <x:c r="M979" s="27" t="n">
        <x:v>0.05</x:v>
      </x:c>
      <x:c r="N979" s="26" t="n">
        <x:f>K979*L979</x:f>
        <x:v>11834</x:v>
      </x:c>
      <x:c r="O979" s="26" t="n">
        <x:f>N979*(1-M979)</x:f>
        <x:v>11242.3</x:v>
      </x:c>
      <x:c r="P979" s="26" t="n">
        <x:v>4408</x:v>
      </x:c>
      <x:c r="Q979" s="26" t="n">
        <x:f>K979*P979</x:f>
        <x:v>8816</x:v>
      </x:c>
      <x:c r="R979" s="26" t="n">
        <x:f>O979-Q979</x:f>
        <x:v>2426.2999999999993</x:v>
      </x:c>
      <x:c r="S979" s="28" t="n">
        <x:f>IF(O979=0,0,R979/O979)</x:f>
        <x:v>0.21581882710833186</x:v>
      </x:c>
      <x:c r="T979" s="25" t="str">
        <x:v>Cash</x:v>
      </x:c>
      <x:c r="U979" s="25" t="str">
        <x:v>Cancelled</x:v>
      </x:c>
      <x:c r="V979" s="29" t="n">
        <x:v>3</x:v>
      </x:c>
    </x:row>
    <x:row r="980">
      <x:c r="A980" s="23" t="str">
        <x:v>MAN-2025-00979</x:v>
      </x:c>
      <x:c r="B980" s="24" t="n">
        <x:v>45920</x:v>
      </x:c>
      <x:c r="C980" s="25" t="str">
        <x:v>Mansoura</x:v>
      </x:c>
      <x:c r="D980" s="25" t="str">
        <x:v>Aga</x:v>
      </x:c>
      <x:c r="E980" s="25" t="str">
        <x:v>Youssef Fathy</x:v>
      </x:c>
      <x:c r="F980" s="25" t="str">
        <x:v>Karim Gamal</x:v>
      </x:c>
      <x:c r="G980" s="25" t="str">
        <x:v>Consumer</x:v>
      </x:c>
      <x:c r="H980" s="25" t="str">
        <x:v>Mobile App</x:v>
      </x:c>
      <x:c r="I980" s="25" t="str">
        <x:v>Electronics</x:v>
      </x:c>
      <x:c r="J980" s="25" t="str">
        <x:v>Laptop</x:v>
      </x:c>
      <x:c r="K980" s="25" t="n">
        <x:v>4</x:v>
      </x:c>
      <x:c r="L980" s="26" t="n">
        <x:v>25018</x:v>
      </x:c>
      <x:c r="M980" s="27" t="n">
        <x:v>0.1</x:v>
      </x:c>
      <x:c r="N980" s="26" t="n">
        <x:f>K980*L980</x:f>
        <x:v>100072</x:v>
      </x:c>
      <x:c r="O980" s="26" t="n">
        <x:f>N980*(1-M980)</x:f>
        <x:v>90064.8</x:v>
      </x:c>
      <x:c r="P980" s="26" t="n">
        <x:v>21733</x:v>
      </x:c>
      <x:c r="Q980" s="26" t="n">
        <x:f>K980*P980</x:f>
        <x:v>86932</x:v>
      </x:c>
      <x:c r="R980" s="26" t="n">
        <x:f>O980-Q980</x:f>
        <x:v>3132.800000000003</x:v>
      </x:c>
      <x:c r="S980" s="28" t="n">
        <x:f>IF(O980=0,0,R980/O980)</x:f>
        <x:v>0.03478384452083392</x:v>
      </x:c>
      <x:c r="T980" s="25" t="str">
        <x:v>Debit Card</x:v>
      </x:c>
      <x:c r="U980" s="25" t="str">
        <x:v>Returned</x:v>
      </x:c>
      <x:c r="V980" s="29" t="n">
        <x:v>4</x:v>
      </x:c>
    </x:row>
    <x:row r="981">
      <x:c r="A981" s="23" t="str">
        <x:v>MAN-2025-00980</x:v>
      </x:c>
      <x:c r="B981" s="24" t="n">
        <x:v>45825</x:v>
      </x:c>
      <x:c r="C981" s="25" t="str">
        <x:v>Mansoura</x:v>
      </x:c>
      <x:c r="D981" s="25" t="str">
        <x:v>Mit Ghamr</x:v>
      </x:c>
      <x:c r="E981" s="25" t="str">
        <x:v>Salma Mansour</x:v>
      </x:c>
      <x:c r="F981" s="25" t="str">
        <x:v>Amr Hassan</x:v>
      </x:c>
      <x:c r="G981" s="25" t="str">
        <x:v>Corporate</x:v>
      </x:c>
      <x:c r="H981" s="25" t="str">
        <x:v>Mobile App</x:v>
      </x:c>
      <x:c r="I981" s="25" t="str">
        <x:v>Home Appliances</x:v>
      </x:c>
      <x:c r="J981" s="25" t="str">
        <x:v>Air Conditioner</x:v>
      </x:c>
      <x:c r="K981" s="25" t="n">
        <x:v>2</x:v>
      </x:c>
      <x:c r="L981" s="26" t="n">
        <x:v>21246</x:v>
      </x:c>
      <x:c r="M981" s="27" t="n">
        <x:v>0.15</x:v>
      </x:c>
      <x:c r="N981" s="26" t="n">
        <x:f>K981*L981</x:f>
        <x:v>42492</x:v>
      </x:c>
      <x:c r="O981" s="26" t="n">
        <x:f>N981*(1-M981)</x:f>
        <x:v>36118.2</x:v>
      </x:c>
      <x:c r="P981" s="26" t="n">
        <x:v>17742</x:v>
      </x:c>
      <x:c r="Q981" s="26" t="n">
        <x:f>K981*P981</x:f>
        <x:v>35484</x:v>
      </x:c>
      <x:c r="R981" s="26" t="n">
        <x:f>O981-Q981</x:f>
        <x:v>634.1999999999971</x:v>
      </x:c>
      <x:c r="S981" s="28" t="n">
        <x:f>IF(O981=0,0,R981/O981)</x:f>
        <x:v>0.017559014568832253</x:v>
      </x:c>
      <x:c r="T981" s="25" t="str">
        <x:v>Debit Card</x:v>
      </x:c>
      <x:c r="U981" s="25" t="str">
        <x:v>Returned</x:v>
      </x:c>
      <x:c r="V981" s="29" t="n">
        <x:v>4</x:v>
      </x:c>
    </x:row>
    <x:row r="982">
      <x:c r="A982" s="23" t="str">
        <x:v>MAN-2025-00981</x:v>
      </x:c>
      <x:c r="B982" s="24" t="n">
        <x:v>45929</x:v>
      </x:c>
      <x:c r="C982" s="25" t="str">
        <x:v>Mansoura</x:v>
      </x:c>
      <x:c r="D982" s="25" t="str">
        <x:v>Talkha</x:v>
      </x:c>
      <x:c r="E982" s="25" t="str">
        <x:v>Salma Mansour</x:v>
      </x:c>
      <x:c r="F982" s="25" t="str">
        <x:v>Hana Ibrahim</x:v>
      </x:c>
      <x:c r="G982" s="25" t="str">
        <x:v>Small Business</x:v>
      </x:c>
      <x:c r="H982" s="25" t="str">
        <x:v>Retail Store</x:v>
      </x:c>
      <x:c r="I982" s="25" t="str">
        <x:v>Electronics</x:v>
      </x:c>
      <x:c r="J982" s="25" t="str">
        <x:v>Smartphone</x:v>
      </x:c>
      <x:c r="K982" s="25" t="n">
        <x:v>3</x:v>
      </x:c>
      <x:c r="L982" s="26" t="n">
        <x:v>12299</x:v>
      </x:c>
      <x:c r="M982" s="27" t="n">
        <x:v>0.05</x:v>
      </x:c>
      <x:c r="N982" s="26" t="n">
        <x:f>K982*L982</x:f>
        <x:v>36897</x:v>
      </x:c>
      <x:c r="O982" s="26" t="n">
        <x:f>N982*(1-M982)</x:f>
        <x:v>35052.15</x:v>
      </x:c>
      <x:c r="P982" s="26" t="n">
        <x:v>10787</x:v>
      </x:c>
      <x:c r="Q982" s="26" t="n">
        <x:f>K982*P982</x:f>
        <x:v>32361</x:v>
      </x:c>
      <x:c r="R982" s="26" t="n">
        <x:f>O982-Q982</x:f>
        <x:v>2691.1500000000015</x:v>
      </x:c>
      <x:c r="S982" s="28" t="n">
        <x:f>IF(O982=0,0,R982/O982)</x:f>
        <x:v>0.07677560434951926</x:v>
      </x:c>
      <x:c r="T982" s="25" t="str">
        <x:v>Digital Wallet</x:v>
      </x:c>
      <x:c r="U982" s="25" t="str">
        <x:v>Completed</x:v>
      </x:c>
      <x:c r="V982" s="29" t="n">
        <x:v>4</x:v>
      </x:c>
    </x:row>
    <x:row r="983">
      <x:c r="A983" s="23" t="str">
        <x:v>MAN-2025-00982</x:v>
      </x:c>
      <x:c r="B983" s="24" t="n">
        <x:v>45840</x:v>
      </x:c>
      <x:c r="C983" s="25" t="str">
        <x:v>Mansoura</x:v>
      </x:c>
      <x:c r="D983" s="25" t="str">
        <x:v>Aga</x:v>
      </x:c>
      <x:c r="E983" s="25" t="str">
        <x:v>Ali Sayed</x:v>
      </x:c>
      <x:c r="F983" s="25" t="str">
        <x:v>Youssef Hassan</x:v>
      </x:c>
      <x:c r="G983" s="25" t="str">
        <x:v>Consumer</x:v>
      </x:c>
      <x:c r="H983" s="25" t="str">
        <x:v>Retail Store</x:v>
      </x:c>
      <x:c r="I983" s="25" t="str">
        <x:v>Electronics</x:v>
      </x:c>
      <x:c r="J983" s="25" t="str">
        <x:v>Laptop</x:v>
      </x:c>
      <x:c r="K983" s="25" t="n">
        <x:v>3</x:v>
      </x:c>
      <x:c r="L983" s="26" t="n">
        <x:v>22744</x:v>
      </x:c>
      <x:c r="M983" s="27" t="n">
        <x:v>0.1</x:v>
      </x:c>
      <x:c r="N983" s="26" t="n">
        <x:f>K983*L983</x:f>
        <x:v>68232</x:v>
      </x:c>
      <x:c r="O983" s="26" t="n">
        <x:f>N983*(1-M983)</x:f>
        <x:v>61408.8</x:v>
      </x:c>
      <x:c r="P983" s="26" t="n">
        <x:v>20569</x:v>
      </x:c>
      <x:c r="Q983" s="26" t="n">
        <x:f>K983*P983</x:f>
        <x:v>61707</x:v>
      </x:c>
      <x:c r="R983" s="26" t="n">
        <x:f>O983-Q983</x:f>
        <x:v>-298.1999999999971</x:v>
      </x:c>
      <x:c r="S983" s="28" t="n">
        <x:f>IF(O983=0,0,R983/O983)</x:f>
        <x:v>-0.004855981553132402</x:v>
      </x:c>
      <x:c r="T983" s="25" t="str">
        <x:v>Digital Wallet</x:v>
      </x:c>
      <x:c r="U983" s="25" t="str">
        <x:v>Completed</x:v>
      </x:c>
      <x:c r="V983" s="29" t="n">
        <x:v>4</x:v>
      </x:c>
    </x:row>
    <x:row r="984">
      <x:c r="A984" s="23" t="str">
        <x:v>MAN-2025-00983</x:v>
      </x:c>
      <x:c r="B984" s="24" t="n">
        <x:v>46022</x:v>
      </x:c>
      <x:c r="C984" s="25" t="str">
        <x:v>Mansoura</x:v>
      </x:c>
      <x:c r="D984" s="25" t="str">
        <x:v>Mit Ghamr</x:v>
      </x:c>
      <x:c r="E984" s="25" t="str">
        <x:v>Youssef Fathy</x:v>
      </x:c>
      <x:c r="F984" s="25" t="str">
        <x:v>Ali Gamal</x:v>
      </x:c>
      <x:c r="G984" s="25" t="str">
        <x:v>Corporate</x:v>
      </x:c>
      <x:c r="H984" s="25" t="str">
        <x:v>Website</x:v>
      </x:c>
      <x:c r="I984" s="25" t="str">
        <x:v>Home Appliances</x:v>
      </x:c>
      <x:c r="J984" s="25" t="str">
        <x:v>Blender</x:v>
      </x:c>
      <x:c r="K984" s="25" t="n">
        <x:v>5</x:v>
      </x:c>
      <x:c r="L984" s="26" t="n">
        <x:v>1727</x:v>
      </x:c>
      <x:c r="M984" s="27" t="n">
        <x:v>0</x:v>
      </x:c>
      <x:c r="N984" s="26" t="n">
        <x:f>K984*L984</x:f>
        <x:v>8635</x:v>
      </x:c>
      <x:c r="O984" s="26" t="n">
        <x:f>N984*(1-M984)</x:f>
        <x:v>8635</x:v>
      </x:c>
      <x:c r="P984" s="26" t="n">
        <x:v>1282</x:v>
      </x:c>
      <x:c r="Q984" s="26" t="n">
        <x:f>K984*P984</x:f>
        <x:v>6410</x:v>
      </x:c>
      <x:c r="R984" s="26" t="n">
        <x:f>O984-Q984</x:f>
        <x:v>2225</x:v>
      </x:c>
      <x:c r="S984" s="28" t="n">
        <x:f>IF(O984=0,0,R984/O984)</x:f>
        <x:v>0.2576722640416908</x:v>
      </x:c>
      <x:c r="T984" s="25" t="str">
        <x:v>Bank Transfer</x:v>
      </x:c>
      <x:c r="U984" s="25" t="str">
        <x:v>Returned</x:v>
      </x:c>
      <x:c r="V984" s="29" t="n">
        <x:v>4</x:v>
      </x:c>
    </x:row>
    <x:row r="985">
      <x:c r="A985" s="23" t="str">
        <x:v>MAN-2025-00984</x:v>
      </x:c>
      <x:c r="B985" s="24" t="n">
        <x:v>45698</x:v>
      </x:c>
      <x:c r="C985" s="25" t="str">
        <x:v>Mansoura</x:v>
      </x:c>
      <x:c r="D985" s="25" t="str">
        <x:v>Mansoura City</x:v>
      </x:c>
      <x:c r="E985" s="25" t="str">
        <x:v>Youssef Fathy</x:v>
      </x:c>
      <x:c r="F985" s="25" t="str">
        <x:v>Aya Adel</x:v>
      </x:c>
      <x:c r="G985" s="25" t="str">
        <x:v>Consumer</x:v>
      </x:c>
      <x:c r="H985" s="25" t="str">
        <x:v>Phone Order</x:v>
      </x:c>
      <x:c r="I985" s="25" t="str">
        <x:v>Home Appliances</x:v>
      </x:c>
      <x:c r="J985" s="25" t="str">
        <x:v>Blender</x:v>
      </x:c>
      <x:c r="K985" s="25" t="n">
        <x:v>5</x:v>
      </x:c>
      <x:c r="L985" s="26" t="n">
        <x:v>1831</x:v>
      </x:c>
      <x:c r="M985" s="27" t="n">
        <x:v>0</x:v>
      </x:c>
      <x:c r="N985" s="26" t="n">
        <x:f>K985*L985</x:f>
        <x:v>9155</x:v>
      </x:c>
      <x:c r="O985" s="26" t="n">
        <x:f>N985*(1-M985)</x:f>
        <x:v>9155</x:v>
      </x:c>
      <x:c r="P985" s="26" t="n">
        <x:v>1265</x:v>
      </x:c>
      <x:c r="Q985" s="26" t="n">
        <x:f>K985*P985</x:f>
        <x:v>6325</x:v>
      </x:c>
      <x:c r="R985" s="26" t="n">
        <x:f>O985-Q985</x:f>
        <x:v>2830</x:v>
      </x:c>
      <x:c r="S985" s="28" t="n">
        <x:f>IF(O985=0,0,R985/O985)</x:f>
        <x:v>0.3091206990715456</x:v>
      </x:c>
      <x:c r="T985" s="25" t="str">
        <x:v>Digital Wallet</x:v>
      </x:c>
      <x:c r="U985" s="25" t="str">
        <x:v>Completed</x:v>
      </x:c>
      <x:c r="V985" s="29" t="n">
        <x:v>5</x:v>
      </x:c>
    </x:row>
    <x:row r="986">
      <x:c r="A986" s="23" t="str">
        <x:v>MAN-2025-00985</x:v>
      </x:c>
      <x:c r="B986" s="24" t="n">
        <x:v>45995</x:v>
      </x:c>
      <x:c r="C986" s="25" t="str">
        <x:v>Mansoura</x:v>
      </x:c>
      <x:c r="D986" s="25" t="str">
        <x:v>Aga</x:v>
      </x:c>
      <x:c r="E986" s="25" t="str">
        <x:v>Salma Mansour</x:v>
      </x:c>
      <x:c r="F986" s="25" t="str">
        <x:v>Ahmed Fathy</x:v>
      </x:c>
      <x:c r="G986" s="25" t="str">
        <x:v>Consumer</x:v>
      </x:c>
      <x:c r="H986" s="25" t="str">
        <x:v>Retail Store</x:v>
      </x:c>
      <x:c r="I986" s="25" t="str">
        <x:v>Office Supplies</x:v>
      </x:c>
      <x:c r="J986" s="25" t="str">
        <x:v>Ink Cartridge</x:v>
      </x:c>
      <x:c r="K986" s="25" t="n">
        <x:v>6</x:v>
      </x:c>
      <x:c r="L986" s="26" t="n">
        <x:v>843</x:v>
      </x:c>
      <x:c r="M986" s="27" t="n">
        <x:v>0</x:v>
      </x:c>
      <x:c r="N986" s="26" t="n">
        <x:f>K986*L986</x:f>
        <x:v>5058</x:v>
      </x:c>
      <x:c r="O986" s="26" t="n">
        <x:f>N986*(1-M986)</x:f>
        <x:v>5058</x:v>
      </x:c>
      <x:c r="P986" s="26" t="n">
        <x:v>562</x:v>
      </x:c>
      <x:c r="Q986" s="26" t="n">
        <x:f>K986*P986</x:f>
        <x:v>3372</x:v>
      </x:c>
      <x:c r="R986" s="26" t="n">
        <x:f>O986-Q986</x:f>
        <x:v>1686</x:v>
      </x:c>
      <x:c r="S986" s="28" t="n">
        <x:f>IF(O986=0,0,R986/O986)</x:f>
        <x:v>0.3333333333333333</x:v>
      </x:c>
      <x:c r="T986" s="25" t="str">
        <x:v>Credit Card</x:v>
      </x:c>
      <x:c r="U986" s="25" t="str">
        <x:v>Completed</x:v>
      </x:c>
      <x:c r="V986" s="29" t="n">
        <x:v>4</x:v>
      </x:c>
    </x:row>
    <x:row r="987">
      <x:c r="A987" s="23" t="str">
        <x:v>MAN-2025-00986</x:v>
      </x:c>
      <x:c r="B987" s="24" t="n">
        <x:v>45971</x:v>
      </x:c>
      <x:c r="C987" s="25" t="str">
        <x:v>Mansoura</x:v>
      </x:c>
      <x:c r="D987" s="25" t="str">
        <x:v>Mit Ghamr</x:v>
      </x:c>
      <x:c r="E987" s="25" t="str">
        <x:v>Aya Farouk</x:v>
      </x:c>
      <x:c r="F987" s="25" t="str">
        <x:v>Hana Farouk</x:v>
      </x:c>
      <x:c r="G987" s="25" t="str">
        <x:v>Consumer</x:v>
      </x:c>
      <x:c r="H987" s="25" t="str">
        <x:v>Website</x:v>
      </x:c>
      <x:c r="I987" s="25" t="str">
        <x:v>Electronics</x:v>
      </x:c>
      <x:c r="J987" s="25" t="str">
        <x:v>Headphones</x:v>
      </x:c>
      <x:c r="K987" s="25" t="n">
        <x:v>6</x:v>
      </x:c>
      <x:c r="L987" s="26" t="n">
        <x:v>1783</x:v>
      </x:c>
      <x:c r="M987" s="27" t="n">
        <x:v>0</x:v>
      </x:c>
      <x:c r="N987" s="26" t="n">
        <x:f>K987*L987</x:f>
        <x:v>10698</x:v>
      </x:c>
      <x:c r="O987" s="26" t="n">
        <x:f>N987*(1-M987)</x:f>
        <x:v>10698</x:v>
      </x:c>
      <x:c r="P987" s="26" t="n">
        <x:v>1101</x:v>
      </x:c>
      <x:c r="Q987" s="26" t="n">
        <x:f>K987*P987</x:f>
        <x:v>6606</x:v>
      </x:c>
      <x:c r="R987" s="26" t="n">
        <x:f>O987-Q987</x:f>
        <x:v>4092</x:v>
      </x:c>
      <x:c r="S987" s="28" t="n">
        <x:f>IF(O987=0,0,R987/O987)</x:f>
        <x:v>0.3825014021312395</x:v>
      </x:c>
      <x:c r="T987" s="25" t="str">
        <x:v>Credit Card</x:v>
      </x:c>
      <x:c r="U987" s="25" t="str">
        <x:v>Cancelled</x:v>
      </x:c>
      <x:c r="V987" s="29" t="n">
        <x:v>4</x:v>
      </x:c>
    </x:row>
    <x:row r="988">
      <x:c r="A988" s="23" t="str">
        <x:v>MAN-2025-00987</x:v>
      </x:c>
      <x:c r="B988" s="24" t="n">
        <x:v>45857</x:v>
      </x:c>
      <x:c r="C988" s="25" t="str">
        <x:v>Mansoura</x:v>
      </x:c>
      <x:c r="D988" s="25" t="str">
        <x:v>Mit Ghamr</x:v>
      </x:c>
      <x:c r="E988" s="25" t="str">
        <x:v>Ali Sayed</x:v>
      </x:c>
      <x:c r="F988" s="25" t="str">
        <x:v>Ahmed Sayed</x:v>
      </x:c>
      <x:c r="G988" s="25" t="str">
        <x:v>Small Business</x:v>
      </x:c>
      <x:c r="H988" s="25" t="str">
        <x:v>Retail Store</x:v>
      </x:c>
      <x:c r="I988" s="25" t="str">
        <x:v>Office Supplies</x:v>
      </x:c>
      <x:c r="J988" s="25" t="str">
        <x:v>Printer</x:v>
      </x:c>
      <x:c r="K988" s="25" t="n">
        <x:v>5</x:v>
      </x:c>
      <x:c r="L988" s="26" t="n">
        <x:v>6341</x:v>
      </x:c>
      <x:c r="M988" s="27" t="n">
        <x:v>0.1</x:v>
      </x:c>
      <x:c r="N988" s="26" t="n">
        <x:f>K988*L988</x:f>
        <x:v>31705</x:v>
      </x:c>
      <x:c r="O988" s="26" t="n">
        <x:f>N988*(1-M988)</x:f>
        <x:v>28534.5</x:v>
      </x:c>
      <x:c r="P988" s="26" t="n">
        <x:v>5323</x:v>
      </x:c>
      <x:c r="Q988" s="26" t="n">
        <x:f>K988*P988</x:f>
        <x:v>26615</x:v>
      </x:c>
      <x:c r="R988" s="26" t="n">
        <x:f>O988-Q988</x:f>
        <x:v>1919.5</x:v>
      </x:c>
      <x:c r="S988" s="28" t="n">
        <x:f>IF(O988=0,0,R988/O988)</x:f>
        <x:v>0.06726944575864305</x:v>
      </x:c>
      <x:c r="T988" s="25" t="str">
        <x:v>Bank Transfer</x:v>
      </x:c>
      <x:c r="U988" s="25" t="str">
        <x:v>Cancelled</x:v>
      </x:c>
      <x:c r="V988" s="29" t="n">
        <x:v>4</x:v>
      </x:c>
    </x:row>
    <x:row r="989">
      <x:c r="A989" s="23" t="str">
        <x:v>MAN-2025-00988</x:v>
      </x:c>
      <x:c r="B989" s="24" t="n">
        <x:v>45782</x:v>
      </x:c>
      <x:c r="C989" s="25" t="str">
        <x:v>Mansoura</x:v>
      </x:c>
      <x:c r="D989" s="25" t="str">
        <x:v>Sherbin</x:v>
      </x:c>
      <x:c r="E989" s="25" t="str">
        <x:v>Youssef Fathy</x:v>
      </x:c>
      <x:c r="F989" s="25" t="str">
        <x:v>Youssef Farouk</x:v>
      </x:c>
      <x:c r="G989" s="25" t="str">
        <x:v>Corporate</x:v>
      </x:c>
      <x:c r="H989" s="25" t="str">
        <x:v>Retail Store</x:v>
      </x:c>
      <x:c r="I989" s="25" t="str">
        <x:v>Electronics</x:v>
      </x:c>
      <x:c r="J989" s="25" t="str">
        <x:v>Headphones</x:v>
      </x:c>
      <x:c r="K989" s="25" t="n">
        <x:v>5</x:v>
      </x:c>
      <x:c r="L989" s="26" t="n">
        <x:v>1611</x:v>
      </x:c>
      <x:c r="M989" s="27" t="n">
        <x:v>0.15</x:v>
      </x:c>
      <x:c r="N989" s="26" t="n">
        <x:f>K989*L989</x:f>
        <x:v>8055</x:v>
      </x:c>
      <x:c r="O989" s="26" t="n">
        <x:f>N989*(1-M989)</x:f>
        <x:v>6846.75</x:v>
      </x:c>
      <x:c r="P989" s="26" t="n">
        <x:v>1098</x:v>
      </x:c>
      <x:c r="Q989" s="26" t="n">
        <x:f>K989*P989</x:f>
        <x:v>5490</x:v>
      </x:c>
      <x:c r="R989" s="26" t="n">
        <x:f>O989-Q989</x:f>
        <x:v>1356.75</x:v>
      </x:c>
      <x:c r="S989" s="28" t="n">
        <x:f>IF(O989=0,0,R989/O989)</x:f>
        <x:v>0.19815971081169897</x:v>
      </x:c>
      <x:c r="T989" s="25" t="str">
        <x:v>Debit Card</x:v>
      </x:c>
      <x:c r="U989" s="25" t="str">
        <x:v>Completed</x:v>
      </x:c>
      <x:c r="V989" s="29" t="n">
        <x:v>3</x:v>
      </x:c>
    </x:row>
    <x:row r="990">
      <x:c r="A990" s="23" t="str">
        <x:v>MAN-2025-00989</x:v>
      </x:c>
      <x:c r="B990" s="24" t="n">
        <x:v>45845</x:v>
      </x:c>
      <x:c r="C990" s="25" t="str">
        <x:v>Mansoura</x:v>
      </x:c>
      <x:c r="D990" s="25" t="str">
        <x:v>Sherbin</x:v>
      </x:c>
      <x:c r="E990" s="25" t="str">
        <x:v>Salma Mansour</x:v>
      </x:c>
      <x:c r="F990" s="25" t="str">
        <x:v>Karim Ibrahim</x:v>
      </x:c>
      <x:c r="G990" s="25" t="str">
        <x:v>Consumer</x:v>
      </x:c>
      <x:c r="H990" s="25" t="str">
        <x:v>Mobile App</x:v>
      </x:c>
      <x:c r="I990" s="25" t="str">
        <x:v>Furniture</x:v>
      </x:c>
      <x:c r="J990" s="25" t="str">
        <x:v>Office Chair</x:v>
      </x:c>
      <x:c r="K990" s="25" t="n">
        <x:v>5</x:v>
      </x:c>
      <x:c r="L990" s="26" t="n">
        <x:v>3879</x:v>
      </x:c>
      <x:c r="M990" s="27" t="n">
        <x:v>0.05</x:v>
      </x:c>
      <x:c r="N990" s="26" t="n">
        <x:f>K990*L990</x:f>
        <x:v>19395</x:v>
      </x:c>
      <x:c r="O990" s="26" t="n">
        <x:f>N990*(1-M990)</x:f>
        <x:v>18425.25</x:v>
      </x:c>
      <x:c r="P990" s="26" t="n">
        <x:v>2891</x:v>
      </x:c>
      <x:c r="Q990" s="26" t="n">
        <x:f>K990*P990</x:f>
        <x:v>14455</x:v>
      </x:c>
      <x:c r="R990" s="26" t="n">
        <x:f>O990-Q990</x:f>
        <x:v>3970.25</x:v>
      </x:c>
      <x:c r="S990" s="28" t="n">
        <x:f>IF(O990=0,0,R990/O990)</x:f>
        <x:v>0.21547875876853775</x:v>
      </x:c>
      <x:c r="T990" s="25" t="str">
        <x:v>Cash</x:v>
      </x:c>
      <x:c r="U990" s="25" t="str">
        <x:v>Cancelled</x:v>
      </x:c>
      <x:c r="V990" s="29" t="n">
        <x:v>5</x:v>
      </x:c>
    </x:row>
    <x:row r="991">
      <x:c r="A991" s="23" t="str">
        <x:v>MAN-2025-00990</x:v>
      </x:c>
      <x:c r="B991" s="24" t="n">
        <x:v>45899</x:v>
      </x:c>
      <x:c r="C991" s="25" t="str">
        <x:v>Mansoura</x:v>
      </x:c>
      <x:c r="D991" s="25" t="str">
        <x:v>Sherbin</x:v>
      </x:c>
      <x:c r="E991" s="25" t="str">
        <x:v>Youssef Fathy</x:v>
      </x:c>
      <x:c r="F991" s="25" t="str">
        <x:v>Mostafa Farouk</x:v>
      </x:c>
      <x:c r="G991" s="25" t="str">
        <x:v>Consumer</x:v>
      </x:c>
      <x:c r="H991" s="25" t="str">
        <x:v>Retail Store</x:v>
      </x:c>
      <x:c r="I991" s="25" t="str">
        <x:v>Electronics</x:v>
      </x:c>
      <x:c r="J991" s="25" t="str">
        <x:v>Smartphone</x:v>
      </x:c>
      <x:c r="K991" s="25" t="n">
        <x:v>5</x:v>
      </x:c>
      <x:c r="L991" s="26" t="n">
        <x:v>12467</x:v>
      </x:c>
      <x:c r="M991" s="27" t="n">
        <x:v>0.1</x:v>
      </x:c>
      <x:c r="N991" s="26" t="n">
        <x:f>K991*L991</x:f>
        <x:v>62335</x:v>
      </x:c>
      <x:c r="O991" s="26" t="n">
        <x:f>N991*(1-M991)</x:f>
        <x:v>56101.5</x:v>
      </x:c>
      <x:c r="P991" s="26" t="n">
        <x:v>10634</x:v>
      </x:c>
      <x:c r="Q991" s="26" t="n">
        <x:f>K991*P991</x:f>
        <x:v>53170</x:v>
      </x:c>
      <x:c r="R991" s="26" t="n">
        <x:f>O991-Q991</x:f>
        <x:v>2931.5</x:v>
      </x:c>
      <x:c r="S991" s="28" t="n">
        <x:f>IF(O991=0,0,R991/O991)</x:f>
        <x:v>0.052253504808249335</x:v>
      </x:c>
      <x:c r="T991" s="25" t="str">
        <x:v>Debit Card</x:v>
      </x:c>
      <x:c r="U991" s="25" t="str">
        <x:v>Completed</x:v>
      </x:c>
      <x:c r="V991" s="29" t="n">
        <x:v>3</x:v>
      </x:c>
    </x:row>
    <x:row r="992">
      <x:c r="A992" s="23" t="str">
        <x:v>MAN-2025-00991</x:v>
      </x:c>
      <x:c r="B992" s="24" t="n">
        <x:v>45790</x:v>
      </x:c>
      <x:c r="C992" s="25" t="str">
        <x:v>Mansoura</x:v>
      </x:c>
      <x:c r="D992" s="25" t="str">
        <x:v>Mansoura City</x:v>
      </x:c>
      <x:c r="E992" s="25" t="str">
        <x:v>Salma Mansour</x:v>
      </x:c>
      <x:c r="F992" s="25" t="str">
        <x:v>Ahmed Khalil</x:v>
      </x:c>
      <x:c r="G992" s="25" t="str">
        <x:v>Consumer</x:v>
      </x:c>
      <x:c r="H992" s="25" t="str">
        <x:v>Phone Order</x:v>
      </x:c>
      <x:c r="I992" s="25" t="str">
        <x:v>Electronics</x:v>
      </x:c>
      <x:c r="J992" s="25" t="str">
        <x:v>Headphones</x:v>
      </x:c>
      <x:c r="K992" s="25" t="n">
        <x:v>3</x:v>
      </x:c>
      <x:c r="L992" s="26" t="n">
        <x:v>1623</x:v>
      </x:c>
      <x:c r="M992" s="27" t="n">
        <x:v>0</x:v>
      </x:c>
      <x:c r="N992" s="26" t="n">
        <x:f>K992*L992</x:f>
        <x:v>4869</x:v>
      </x:c>
      <x:c r="O992" s="26" t="n">
        <x:f>N992*(1-M992)</x:f>
        <x:v>4869</x:v>
      </x:c>
      <x:c r="P992" s="26" t="n">
        <x:v>1107</x:v>
      </x:c>
      <x:c r="Q992" s="26" t="n">
        <x:f>K992*P992</x:f>
        <x:v>3321</x:v>
      </x:c>
      <x:c r="R992" s="26" t="n">
        <x:f>O992-Q992</x:f>
        <x:v>1548</x:v>
      </x:c>
      <x:c r="S992" s="28" t="n">
        <x:f>IF(O992=0,0,R992/O992)</x:f>
        <x:v>0.3179297597042514</x:v>
      </x:c>
      <x:c r="T992" s="25" t="str">
        <x:v>Debit Card</x:v>
      </x:c>
      <x:c r="U992" s="25" t="str">
        <x:v>Completed</x:v>
      </x:c>
      <x:c r="V992" s="29" t="n">
        <x:v>4</x:v>
      </x:c>
    </x:row>
    <x:row r="993">
      <x:c r="A993" s="23" t="str">
        <x:v>MAN-2025-00992</x:v>
      </x:c>
      <x:c r="B993" s="24" t="n">
        <x:v>45906</x:v>
      </x:c>
      <x:c r="C993" s="25" t="str">
        <x:v>Mansoura</x:v>
      </x:c>
      <x:c r="D993" s="25" t="str">
        <x:v>Sherbin</x:v>
      </x:c>
      <x:c r="E993" s="25" t="str">
        <x:v>Ali Sayed</x:v>
      </x:c>
      <x:c r="F993" s="25" t="str">
        <x:v>Farah Tarek</x:v>
      </x:c>
      <x:c r="G993" s="25" t="str">
        <x:v>Consumer</x:v>
      </x:c>
      <x:c r="H993" s="25" t="str">
        <x:v>Retail Store</x:v>
      </x:c>
      <x:c r="I993" s="25" t="str">
        <x:v>Office Supplies</x:v>
      </x:c>
      <x:c r="J993" s="25" t="str">
        <x:v>Calculator</x:v>
      </x:c>
      <x:c r="K993" s="25" t="n">
        <x:v>5</x:v>
      </x:c>
      <x:c r="L993" s="26" t="n">
        <x:v>431</x:v>
      </x:c>
      <x:c r="M993" s="27" t="n">
        <x:v>0.15</x:v>
      </x:c>
      <x:c r="N993" s="26" t="n">
        <x:f>K993*L993</x:f>
        <x:v>2155</x:v>
      </x:c>
      <x:c r="O993" s="26" t="n">
        <x:f>N993*(1-M993)</x:f>
        <x:v>1831.75</x:v>
      </x:c>
      <x:c r="P993" s="26" t="n">
        <x:v>277</x:v>
      </x:c>
      <x:c r="Q993" s="26" t="n">
        <x:f>K993*P993</x:f>
        <x:v>1385</x:v>
      </x:c>
      <x:c r="R993" s="26" t="n">
        <x:f>O993-Q993</x:f>
        <x:v>446.75</x:v>
      </x:c>
      <x:c r="S993" s="28" t="n">
        <x:f>IF(O993=0,0,R993/O993)</x:f>
        <x:v>0.24389245257267642</x:v>
      </x:c>
      <x:c r="T993" s="25" t="str">
        <x:v>Cash</x:v>
      </x:c>
      <x:c r="U993" s="25" t="str">
        <x:v>Completed</x:v>
      </x:c>
      <x:c r="V993" s="29" t="n">
        <x:v>4</x:v>
      </x:c>
    </x:row>
    <x:row r="994">
      <x:c r="A994" s="23" t="str">
        <x:v>MAN-2025-00993</x:v>
      </x:c>
      <x:c r="B994" s="24" t="n">
        <x:v>45863</x:v>
      </x:c>
      <x:c r="C994" s="25" t="str">
        <x:v>Mansoura</x:v>
      </x:c>
      <x:c r="D994" s="25" t="str">
        <x:v>Mansoura City</x:v>
      </x:c>
      <x:c r="E994" s="25" t="str">
        <x:v>Youssef Fathy</x:v>
      </x:c>
      <x:c r="F994" s="25" t="str">
        <x:v>Youssef Nasser</x:v>
      </x:c>
      <x:c r="G994" s="25" t="str">
        <x:v>Consumer</x:v>
      </x:c>
      <x:c r="H994" s="25" t="str">
        <x:v>Retail Store</x:v>
      </x:c>
      <x:c r="I994" s="25" t="str">
        <x:v>Office Supplies</x:v>
      </x:c>
      <x:c r="J994" s="25" t="str">
        <x:v>Calculator</x:v>
      </x:c>
      <x:c r="K994" s="25" t="n">
        <x:v>5</x:v>
      </x:c>
      <x:c r="L994" s="26" t="n">
        <x:v>422</x:v>
      </x:c>
      <x:c r="M994" s="27" t="n">
        <x:v>0.1</x:v>
      </x:c>
      <x:c r="N994" s="26" t="n">
        <x:f>K994*L994</x:f>
        <x:v>2110</x:v>
      </x:c>
      <x:c r="O994" s="26" t="n">
        <x:f>N994*(1-M994)</x:f>
        <x:v>1899</x:v>
      </x:c>
      <x:c r="P994" s="26" t="n">
        <x:v>295</x:v>
      </x:c>
      <x:c r="Q994" s="26" t="n">
        <x:f>K994*P994</x:f>
        <x:v>1475</x:v>
      </x:c>
      <x:c r="R994" s="26" t="n">
        <x:f>O994-Q994</x:f>
        <x:v>424</x:v>
      </x:c>
      <x:c r="S994" s="28" t="n">
        <x:f>IF(O994=0,0,R994/O994)</x:f>
        <x:v>0.22327540810953134</x:v>
      </x:c>
      <x:c r="T994" s="25" t="str">
        <x:v>Cash</x:v>
      </x:c>
      <x:c r="U994" s="25" t="str">
        <x:v>Completed</x:v>
      </x:c>
      <x:c r="V994" s="29" t="n">
        <x:v>5</x:v>
      </x:c>
    </x:row>
    <x:row r="995">
      <x:c r="A995" s="23" t="str">
        <x:v>MAN-2025-00994</x:v>
      </x:c>
      <x:c r="B995" s="24" t="n">
        <x:v>45889</x:v>
      </x:c>
      <x:c r="C995" s="25" t="str">
        <x:v>Mansoura</x:v>
      </x:c>
      <x:c r="D995" s="25" t="str">
        <x:v>Aga</x:v>
      </x:c>
      <x:c r="E995" s="25" t="str">
        <x:v>Salma Mansour</x:v>
      </x:c>
      <x:c r="F995" s="25" t="str">
        <x:v>Farah Khalil</x:v>
      </x:c>
      <x:c r="G995" s="25" t="str">
        <x:v>Corporate</x:v>
      </x:c>
      <x:c r="H995" s="25" t="str">
        <x:v>Website</x:v>
      </x:c>
      <x:c r="I995" s="25" t="str">
        <x:v>Electronics</x:v>
      </x:c>
      <x:c r="J995" s="25" t="str">
        <x:v>Tablet</x:v>
      </x:c>
      <x:c r="K995" s="25" t="n">
        <x:v>3</x:v>
      </x:c>
      <x:c r="L995" s="26" t="n">
        <x:v>9212</x:v>
      </x:c>
      <x:c r="M995" s="27" t="n">
        <x:v>0.1</x:v>
      </x:c>
      <x:c r="N995" s="26" t="n">
        <x:f>K995*L995</x:f>
        <x:v>27636</x:v>
      </x:c>
      <x:c r="O995" s="26" t="n">
        <x:f>N995*(1-M995)</x:f>
        <x:v>24872.4</x:v>
      </x:c>
      <x:c r="P995" s="26" t="n">
        <x:v>7143</x:v>
      </x:c>
      <x:c r="Q995" s="26" t="n">
        <x:f>K995*P995</x:f>
        <x:v>21429</x:v>
      </x:c>
      <x:c r="R995" s="26" t="n">
        <x:f>O995-Q995</x:f>
        <x:v>3443.4000000000015</x:v>
      </x:c>
      <x:c r="S995" s="28" t="n">
        <x:f>IF(O995=0,0,R995/O995)</x:f>
        <x:v>0.13844261108698805</x:v>
      </x:c>
      <x:c r="T995" s="25" t="str">
        <x:v>Debit Card</x:v>
      </x:c>
      <x:c r="U995" s="25" t="str">
        <x:v>Completed</x:v>
      </x:c>
      <x:c r="V995" s="29" t="n">
        <x:v>3</x:v>
      </x:c>
    </x:row>
    <x:row r="996">
      <x:c r="A996" s="23" t="str">
        <x:v>MAN-2025-00995</x:v>
      </x:c>
      <x:c r="B996" s="24" t="n">
        <x:v>45886</x:v>
      </x:c>
      <x:c r="C996" s="25" t="str">
        <x:v>Mansoura</x:v>
      </x:c>
      <x:c r="D996" s="25" t="str">
        <x:v>Sherbin</x:v>
      </x:c>
      <x:c r="E996" s="25" t="str">
        <x:v>Aya Farouk</x:v>
      </x:c>
      <x:c r="F996" s="25" t="str">
        <x:v>Mostafa Gamal</x:v>
      </x:c>
      <x:c r="G996" s="25" t="str">
        <x:v>Corporate</x:v>
      </x:c>
      <x:c r="H996" s="25" t="str">
        <x:v>Retail Store</x:v>
      </x:c>
      <x:c r="I996" s="25" t="str">
        <x:v>Office Supplies</x:v>
      </x:c>
      <x:c r="J996" s="25" t="str">
        <x:v>Calculator</x:v>
      </x:c>
      <x:c r="K996" s="25" t="n">
        <x:v>3</x:v>
      </x:c>
      <x:c r="L996" s="26" t="n">
        <x:v>443</x:v>
      </x:c>
      <x:c r="M996" s="27" t="n">
        <x:v>0.1</x:v>
      </x:c>
      <x:c r="N996" s="26" t="n">
        <x:f>K996*L996</x:f>
        <x:v>1329</x:v>
      </x:c>
      <x:c r="O996" s="26" t="n">
        <x:f>N996*(1-M996)</x:f>
        <x:v>1196.1000000000001</x:v>
      </x:c>
      <x:c r="P996" s="26" t="n">
        <x:v>291</x:v>
      </x:c>
      <x:c r="Q996" s="26" t="n">
        <x:f>K996*P996</x:f>
        <x:v>873</x:v>
      </x:c>
      <x:c r="R996" s="26" t="n">
        <x:f>O996-Q996</x:f>
        <x:v>323.10000000000014</x:v>
      </x:c>
      <x:c r="S996" s="28" t="n">
        <x:f>IF(O996=0,0,R996/O996)</x:f>
        <x:v>0.27012791572610995</x:v>
      </x:c>
      <x:c r="T996" s="25" t="str">
        <x:v>Debit Card</x:v>
      </x:c>
      <x:c r="U996" s="25" t="str">
        <x:v>Returned</x:v>
      </x:c>
      <x:c r="V996" s="29" t="n">
        <x:v>5</x:v>
      </x:c>
    </x:row>
    <x:row r="997">
      <x:c r="A997" s="23" t="str">
        <x:v>MAN-2025-00996</x:v>
      </x:c>
      <x:c r="B997" s="24" t="n">
        <x:v>45846</x:v>
      </x:c>
      <x:c r="C997" s="25" t="str">
        <x:v>Mansoura</x:v>
      </x:c>
      <x:c r="D997" s="25" t="str">
        <x:v>Aga</x:v>
      </x:c>
      <x:c r="E997" s="25" t="str">
        <x:v>Aya Farouk</x:v>
      </x:c>
      <x:c r="F997" s="25" t="str">
        <x:v>Aya Hassan</x:v>
      </x:c>
      <x:c r="G997" s="25" t="str">
        <x:v>Consumer</x:v>
      </x:c>
      <x:c r="H997" s="25" t="str">
        <x:v>Retail Store</x:v>
      </x:c>
      <x:c r="I997" s="25" t="str">
        <x:v>Electronics</x:v>
      </x:c>
      <x:c r="J997" s="25" t="str">
        <x:v>Smartphone</x:v>
      </x:c>
      <x:c r="K997" s="25" t="n">
        <x:v>1</x:v>
      </x:c>
      <x:c r="L997" s="26" t="n">
        <x:v>12426</x:v>
      </x:c>
      <x:c r="M997" s="27" t="n">
        <x:v>0</x:v>
      </x:c>
      <x:c r="N997" s="26" t="n">
        <x:f>K997*L997</x:f>
        <x:v>12426</x:v>
      </x:c>
      <x:c r="O997" s="26" t="n">
        <x:f>N997*(1-M997)</x:f>
        <x:v>12426</x:v>
      </x:c>
      <x:c r="P997" s="26" t="n">
        <x:v>11089</x:v>
      </x:c>
      <x:c r="Q997" s="26" t="n">
        <x:f>K997*P997</x:f>
        <x:v>11089</x:v>
      </x:c>
      <x:c r="R997" s="26" t="n">
        <x:f>O997-Q997</x:f>
        <x:v>1337</x:v>
      </x:c>
      <x:c r="S997" s="28" t="n">
        <x:f>IF(O997=0,0,R997/O997)</x:f>
        <x:v>0.10759697408659263</x:v>
      </x:c>
      <x:c r="T997" s="25" t="str">
        <x:v>Credit Card</x:v>
      </x:c>
      <x:c r="U997" s="25" t="str">
        <x:v>Cancelled</x:v>
      </x:c>
      <x:c r="V997" s="29" t="n">
        <x:v>4</x:v>
      </x:c>
    </x:row>
    <x:row r="998">
      <x:c r="A998" s="23" t="str">
        <x:v>MAN-2025-00997</x:v>
      </x:c>
      <x:c r="B998" s="24" t="n">
        <x:v>45710</x:v>
      </x:c>
      <x:c r="C998" s="25" t="str">
        <x:v>Mansoura</x:v>
      </x:c>
      <x:c r="D998" s="25" t="str">
        <x:v>Mansoura City</x:v>
      </x:c>
      <x:c r="E998" s="25" t="str">
        <x:v>Ali Sayed</x:v>
      </x:c>
      <x:c r="F998" s="25" t="str">
        <x:v>Mostafa Tarek</x:v>
      </x:c>
      <x:c r="G998" s="25" t="str">
        <x:v>Consumer</x:v>
      </x:c>
      <x:c r="H998" s="25" t="str">
        <x:v>Phone Order</x:v>
      </x:c>
      <x:c r="I998" s="25" t="str">
        <x:v>Furniture</x:v>
      </x:c>
      <x:c r="J998" s="25" t="str">
        <x:v>Sofa</x:v>
      </x:c>
      <x:c r="K998" s="25" t="n">
        <x:v>2</x:v>
      </x:c>
      <x:c r="L998" s="26" t="n">
        <x:v>13753</x:v>
      </x:c>
      <x:c r="M998" s="27" t="n">
        <x:v>0.1</x:v>
      </x:c>
      <x:c r="N998" s="26" t="n">
        <x:f>K998*L998</x:f>
        <x:v>27506</x:v>
      </x:c>
      <x:c r="O998" s="26" t="n">
        <x:f>N998*(1-M998)</x:f>
        <x:v>24755.4</x:v>
      </x:c>
      <x:c r="P998" s="26" t="n">
        <x:v>10856</x:v>
      </x:c>
      <x:c r="Q998" s="26" t="n">
        <x:f>K998*P998</x:f>
        <x:v>21712</x:v>
      </x:c>
      <x:c r="R998" s="26" t="n">
        <x:f>O998-Q998</x:f>
        <x:v>3043.4000000000015</x:v>
      </x:c>
      <x:c r="S998" s="28" t="n">
        <x:f>IF(O998=0,0,R998/O998)</x:f>
        <x:v>0.12293883354742809</x:v>
      </x:c>
      <x:c r="T998" s="25" t="str">
        <x:v>Bank Transfer</x:v>
      </x:c>
      <x:c r="U998" s="25" t="str">
        <x:v>Completed</x:v>
      </x:c>
      <x:c r="V998" s="29" t="n">
        <x:v>5</x:v>
      </x:c>
    </x:row>
    <x:row r="999">
      <x:c r="A999" s="23" t="str">
        <x:v>MAN-2025-00998</x:v>
      </x:c>
      <x:c r="B999" s="24" t="n">
        <x:v>45722</x:v>
      </x:c>
      <x:c r="C999" s="25" t="str">
        <x:v>Mansoura</x:v>
      </x:c>
      <x:c r="D999" s="25" t="str">
        <x:v>Mit Ghamr</x:v>
      </x:c>
      <x:c r="E999" s="25" t="str">
        <x:v>Aya Farouk</x:v>
      </x:c>
      <x:c r="F999" s="25" t="str">
        <x:v>Hana Khalil</x:v>
      </x:c>
      <x:c r="G999" s="25" t="str">
        <x:v>Consumer</x:v>
      </x:c>
      <x:c r="H999" s="25" t="str">
        <x:v>Retail Store</x:v>
      </x:c>
      <x:c r="I999" s="25" t="str">
        <x:v>Furniture</x:v>
      </x:c>
      <x:c r="J999" s="25" t="str">
        <x:v>Bookshelf</x:v>
      </x:c>
      <x:c r="K999" s="25" t="n">
        <x:v>2</x:v>
      </x:c>
      <x:c r="L999" s="26" t="n">
        <x:v>2875</x:v>
      </x:c>
      <x:c r="M999" s="27" t="n">
        <x:v>0.05</x:v>
      </x:c>
      <x:c r="N999" s="26" t="n">
        <x:f>K999*L999</x:f>
        <x:v>5750</x:v>
      </x:c>
      <x:c r="O999" s="26" t="n">
        <x:f>N999*(1-M999)</x:f>
        <x:v>5462.5</x:v>
      </x:c>
      <x:c r="P999" s="26" t="n">
        <x:v>2245</x:v>
      </x:c>
      <x:c r="Q999" s="26" t="n">
        <x:f>K999*P999</x:f>
        <x:v>4490</x:v>
      </x:c>
      <x:c r="R999" s="26" t="n">
        <x:f>O999-Q999</x:f>
        <x:v>972.5</x:v>
      </x:c>
      <x:c r="S999" s="28" t="n">
        <x:f>IF(O999=0,0,R999/O999)</x:f>
        <x:v>0.1780320366132723</x:v>
      </x:c>
      <x:c r="T999" s="25" t="str">
        <x:v>Bank Transfer</x:v>
      </x:c>
      <x:c r="U999" s="25" t="str">
        <x:v>Cancelled</x:v>
      </x:c>
      <x:c r="V999" s="29" t="n">
        <x:v>5</x:v>
      </x:c>
    </x:row>
    <x:row r="1000">
      <x:c r="A1000" s="23" t="str">
        <x:v>MAN-2025-00999</x:v>
      </x:c>
      <x:c r="B1000" s="24" t="n">
        <x:v>45929</x:v>
      </x:c>
      <x:c r="C1000" s="25" t="str">
        <x:v>Mansoura</x:v>
      </x:c>
      <x:c r="D1000" s="25" t="str">
        <x:v>Aga</x:v>
      </x:c>
      <x:c r="E1000" s="25" t="str">
        <x:v>Salma Mansour</x:v>
      </x:c>
      <x:c r="F1000" s="25" t="str">
        <x:v>Sara Fathy</x:v>
      </x:c>
      <x:c r="G1000" s="25" t="str">
        <x:v>Consumer</x:v>
      </x:c>
      <x:c r="H1000" s="25" t="str">
        <x:v>Website</x:v>
      </x:c>
      <x:c r="I1000" s="25" t="str">
        <x:v>Office Supplies</x:v>
      </x:c>
      <x:c r="J1000" s="25" t="str">
        <x:v>Ink Cartridge</x:v>
      </x:c>
      <x:c r="K1000" s="25" t="n">
        <x:v>5</x:v>
      </x:c>
      <x:c r="L1000" s="26" t="n">
        <x:v>821</x:v>
      </x:c>
      <x:c r="M1000" s="27" t="n">
        <x:v>0.1</x:v>
      </x:c>
      <x:c r="N1000" s="26" t="n">
        <x:f>K1000*L1000</x:f>
        <x:v>4105</x:v>
      </x:c>
      <x:c r="O1000" s="26" t="n">
        <x:f>N1000*(1-M1000)</x:f>
        <x:v>3694.5</x:v>
      </x:c>
      <x:c r="P1000" s="26" t="n">
        <x:v>581</x:v>
      </x:c>
      <x:c r="Q1000" s="26" t="n">
        <x:f>K1000*P1000</x:f>
        <x:v>2905</x:v>
      </x:c>
      <x:c r="R1000" s="26" t="n">
        <x:f>O1000-Q1000</x:f>
        <x:v>789.5</x:v>
      </x:c>
      <x:c r="S1000" s="28" t="n">
        <x:f>IF(O1000=0,0,R1000/O1000)</x:f>
        <x:v>0.21369603464609555</x:v>
      </x:c>
      <x:c r="T1000" s="25" t="str">
        <x:v>Bank Transfer</x:v>
      </x:c>
      <x:c r="U1000" s="25" t="str">
        <x:v>Completed</x:v>
      </x:c>
      <x:c r="V1000" s="29" t="n">
        <x:v>5</x:v>
      </x:c>
    </x:row>
    <x:row r="1001">
      <x:c r="A1001" s="30" t="str">
        <x:v>MAN-2025-01000</x:v>
      </x:c>
      <x:c r="B1001" s="31" t="n">
        <x:v>46014</x:v>
      </x:c>
      <x:c r="C1001" s="32" t="str">
        <x:v>Mansoura</x:v>
      </x:c>
      <x:c r="D1001" s="32" t="str">
        <x:v>Aga</x:v>
      </x:c>
      <x:c r="E1001" s="32" t="str">
        <x:v>Ali Sayed</x:v>
      </x:c>
      <x:c r="F1001" s="32" t="str">
        <x:v>Sara Farouk</x:v>
      </x:c>
      <x:c r="G1001" s="32" t="str">
        <x:v>Small Business</x:v>
      </x:c>
      <x:c r="H1001" s="32" t="str">
        <x:v>Website</x:v>
      </x:c>
      <x:c r="I1001" s="32" t="str">
        <x:v>Electronics</x:v>
      </x:c>
      <x:c r="J1001" s="32" t="str">
        <x:v>Tablet</x:v>
      </x:c>
      <x:c r="K1001" s="32" t="n">
        <x:v>5</x:v>
      </x:c>
      <x:c r="L1001" s="33" t="n">
        <x:v>8559</x:v>
      </x:c>
      <x:c r="M1001" s="34" t="n">
        <x:v>0</x:v>
      </x:c>
      <x:c r="N1001" s="33" t="n">
        <x:f>K1001*L1001</x:f>
        <x:v>42795</x:v>
      </x:c>
      <x:c r="O1001" s="33" t="n">
        <x:f>N1001*(1-M1001)</x:f>
        <x:v>42795</x:v>
      </x:c>
      <x:c r="P1001" s="33" t="n">
        <x:v>7407</x:v>
      </x:c>
      <x:c r="Q1001" s="33" t="n">
        <x:f>K1001*P1001</x:f>
        <x:v>37035</x:v>
      </x:c>
      <x:c r="R1001" s="33" t="n">
        <x:f>O1001-Q1001</x:f>
        <x:v>5760</x:v>
      </x:c>
      <x:c r="S1001" s="35" t="n">
        <x:f>IF(O1001=0,0,R1001/O1001)</x:f>
        <x:v>0.13459516298633017</x:v>
      </x:c>
      <x:c r="T1001" s="32" t="str">
        <x:v>Cash</x:v>
      </x:c>
      <x:c r="U1001" s="32" t="str">
        <x:v>Cancelled</x:v>
      </x:c>
      <x:c r="V1001" s="36" t="n">
        <x:v>4</x:v>
      </x:c>
    </x:row>
  </x:sheetData>
  <x:conditionalFormatting sqref="A2:V1001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22d540045134ccb"/>
  </x:tableParts>
</x:worksheet>
</file>